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A275F4B-41B4-4908-BD90-2BB5C2DE3D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" sheetId="1" r:id="rId1"/>
    <sheet name="Dr.Eduku" sheetId="2" state="hidden" r:id="rId2"/>
    <sheet name="Josephine Ayesu" sheetId="3" state="hidden" r:id="rId3"/>
    <sheet name="BRIGHT" sheetId="4" state="hidden" r:id="rId4"/>
    <sheet name="John" sheetId="5" state="hidden" r:id="rId5"/>
    <sheet name="Ama" sheetId="6" state="hidden" r:id="rId6"/>
    <sheet name="Audrey" sheetId="7" state="hidden" r:id="rId7"/>
    <sheet name="Stephen" sheetId="8" state="hidden" r:id="rId8"/>
    <sheet name="Yen" sheetId="9" state="hidden" r:id="rId9"/>
    <sheet name="Jennifer" sheetId="10" state="hidden" r:id="rId10"/>
    <sheet name="Harriet" sheetId="11" state="hidden" r:id="rId11"/>
    <sheet name="Harrison" sheetId="12" state="hidden" r:id="rId12"/>
    <sheet name="Pokuaa" sheetId="13" state="hidden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1" l="1"/>
  <c r="L37" i="1"/>
  <c r="J37" i="1"/>
  <c r="E37" i="1"/>
  <c r="D37" i="1"/>
  <c r="J41" i="1"/>
  <c r="E30" i="1" l="1"/>
  <c r="E14" i="1"/>
  <c r="N21" i="1"/>
  <c r="E21" i="1" l="1"/>
  <c r="F21" i="1"/>
  <c r="H21" i="1"/>
  <c r="G21" i="1"/>
  <c r="H29" i="1"/>
  <c r="E29" i="1"/>
  <c r="F29" i="1" s="1"/>
  <c r="G29" i="1"/>
  <c r="N29" i="1"/>
  <c r="C25" i="13" l="1"/>
  <c r="C27" i="13" s="1"/>
  <c r="C29" i="12"/>
  <c r="C27" i="12"/>
  <c r="C26" i="12"/>
  <c r="C27" i="11"/>
  <c r="C25" i="10"/>
  <c r="C27" i="10" s="1"/>
  <c r="C25" i="9"/>
  <c r="C27" i="9" s="1"/>
  <c r="C31" i="8"/>
  <c r="C29" i="8"/>
  <c r="C27" i="8"/>
  <c r="C25" i="7"/>
  <c r="C27" i="6"/>
  <c r="C25" i="6"/>
  <c r="D26" i="5" l="1"/>
  <c r="D28" i="5" s="1"/>
  <c r="D30" i="3"/>
  <c r="D29" i="4"/>
  <c r="D28" i="2"/>
  <c r="D26" i="2"/>
  <c r="D7" i="2"/>
  <c r="M30" i="1"/>
  <c r="M28" i="1"/>
  <c r="M26" i="1"/>
  <c r="M24" i="1"/>
  <c r="M22" i="1"/>
  <c r="M20" i="1"/>
  <c r="M18" i="1"/>
  <c r="M16" i="1"/>
  <c r="M14" i="1"/>
  <c r="M12" i="1"/>
  <c r="M10" i="1"/>
  <c r="M8" i="1"/>
  <c r="C17" i="13"/>
  <c r="C15" i="13"/>
  <c r="C6" i="13"/>
  <c r="C7" i="13" s="1"/>
  <c r="C17" i="12"/>
  <c r="C15" i="12"/>
  <c r="C6" i="12"/>
  <c r="C7" i="12" s="1"/>
  <c r="C17" i="11"/>
  <c r="C15" i="11"/>
  <c r="C6" i="11"/>
  <c r="C7" i="11" s="1"/>
  <c r="C17" i="10"/>
  <c r="C15" i="10"/>
  <c r="C6" i="10"/>
  <c r="C7" i="10" s="1"/>
  <c r="C17" i="9"/>
  <c r="C15" i="9"/>
  <c r="C6" i="9"/>
  <c r="C7" i="9" s="1"/>
  <c r="C17" i="8"/>
  <c r="C15" i="8"/>
  <c r="C6" i="8"/>
  <c r="C7" i="8" s="1"/>
  <c r="C17" i="7"/>
  <c r="C15" i="7"/>
  <c r="C6" i="7"/>
  <c r="C7" i="7" s="1"/>
  <c r="C17" i="6"/>
  <c r="C15" i="6"/>
  <c r="C6" i="6"/>
  <c r="C7" i="6" s="1"/>
  <c r="D18" i="5"/>
  <c r="D16" i="5"/>
  <c r="D7" i="5"/>
  <c r="D8" i="5" s="1"/>
  <c r="D19" i="4"/>
  <c r="D17" i="4"/>
  <c r="D8" i="4"/>
  <c r="D9" i="4" s="1"/>
  <c r="D20" i="3"/>
  <c r="D18" i="3"/>
  <c r="D10" i="3"/>
  <c r="D15" i="3" s="1"/>
  <c r="D18" i="2"/>
  <c r="D16" i="2"/>
  <c r="D8" i="2"/>
  <c r="D13" i="2" s="1"/>
  <c r="U31" i="1"/>
  <c r="T31" i="1"/>
  <c r="S31" i="1"/>
  <c r="C31" i="1"/>
  <c r="U29" i="1"/>
  <c r="T29" i="1"/>
  <c r="S29" i="1"/>
  <c r="U27" i="1"/>
  <c r="T27" i="1"/>
  <c r="S27" i="1"/>
  <c r="C27" i="1"/>
  <c r="U25" i="1"/>
  <c r="T25" i="1"/>
  <c r="S25" i="1"/>
  <c r="C25" i="1"/>
  <c r="U23" i="1"/>
  <c r="T23" i="1"/>
  <c r="S23" i="1"/>
  <c r="C23" i="1"/>
  <c r="U21" i="1"/>
  <c r="T21" i="1"/>
  <c r="S21" i="1"/>
  <c r="U19" i="1"/>
  <c r="T19" i="1"/>
  <c r="S19" i="1"/>
  <c r="F19" i="1"/>
  <c r="G19" i="1"/>
  <c r="U17" i="1"/>
  <c r="T17" i="1"/>
  <c r="S17" i="1"/>
  <c r="C17" i="1"/>
  <c r="U15" i="1"/>
  <c r="T15" i="1"/>
  <c r="S15" i="1"/>
  <c r="C15" i="1"/>
  <c r="U13" i="1"/>
  <c r="T13" i="1"/>
  <c r="S13" i="1"/>
  <c r="C13" i="1"/>
  <c r="U11" i="1"/>
  <c r="T11" i="1"/>
  <c r="S11" i="1"/>
  <c r="C11" i="1"/>
  <c r="U9" i="1"/>
  <c r="T9" i="1"/>
  <c r="S9" i="1"/>
  <c r="C9" i="1"/>
  <c r="U7" i="1"/>
  <c r="T7" i="1"/>
  <c r="S7" i="1"/>
  <c r="C7" i="1"/>
  <c r="N15" i="1" l="1"/>
  <c r="H15" i="1"/>
  <c r="G15" i="1"/>
  <c r="E15" i="1"/>
  <c r="F15" i="1" s="1"/>
  <c r="N25" i="1"/>
  <c r="E25" i="1"/>
  <c r="F25" i="1" s="1"/>
  <c r="H25" i="1"/>
  <c r="G25" i="1"/>
  <c r="G31" i="1"/>
  <c r="E31" i="1"/>
  <c r="F31" i="1" s="1"/>
  <c r="N31" i="1"/>
  <c r="H31" i="1"/>
  <c r="D40" i="1"/>
  <c r="F7" i="1"/>
  <c r="H7" i="1"/>
  <c r="N7" i="1"/>
  <c r="G7" i="1"/>
  <c r="G13" i="1"/>
  <c r="N13" i="1"/>
  <c r="E13" i="1"/>
  <c r="F13" i="1" s="1"/>
  <c r="H13" i="1"/>
  <c r="H17" i="1"/>
  <c r="G17" i="1"/>
  <c r="E17" i="1"/>
  <c r="F17" i="1" s="1"/>
  <c r="N17" i="1"/>
  <c r="G23" i="1"/>
  <c r="N23" i="1"/>
  <c r="H23" i="1"/>
  <c r="F23" i="1"/>
  <c r="H27" i="1"/>
  <c r="G27" i="1"/>
  <c r="N27" i="1"/>
  <c r="E27" i="1"/>
  <c r="F27" i="1" s="1"/>
  <c r="G11" i="1"/>
  <c r="H11" i="1"/>
  <c r="N11" i="1"/>
  <c r="E11" i="1"/>
  <c r="F11" i="1" s="1"/>
  <c r="N9" i="1"/>
  <c r="C37" i="1"/>
  <c r="V11" i="1"/>
  <c r="V13" i="1"/>
  <c r="V15" i="1"/>
  <c r="V19" i="1"/>
  <c r="V21" i="1"/>
  <c r="V23" i="1"/>
  <c r="V7" i="1"/>
  <c r="V9" i="1"/>
  <c r="V17" i="1"/>
  <c r="V25" i="1"/>
  <c r="V27" i="1"/>
  <c r="V29" i="1"/>
  <c r="V31" i="1"/>
  <c r="F9" i="1"/>
  <c r="H9" i="1"/>
  <c r="H19" i="1"/>
  <c r="I19" i="1" s="1"/>
  <c r="K19" i="1" s="1"/>
  <c r="G9" i="1"/>
  <c r="C10" i="13"/>
  <c r="C12" i="13" s="1"/>
  <c r="C19" i="13" s="1"/>
  <c r="C23" i="13" s="1"/>
  <c r="C10" i="12"/>
  <c r="C12" i="12" s="1"/>
  <c r="C19" i="12" s="1"/>
  <c r="C23" i="12" s="1"/>
  <c r="C10" i="11"/>
  <c r="C12" i="11" s="1"/>
  <c r="C19" i="11" s="1"/>
  <c r="C23" i="11" s="1"/>
  <c r="C10" i="10"/>
  <c r="C12" i="10" s="1"/>
  <c r="C19" i="10" s="1"/>
  <c r="C23" i="10" s="1"/>
  <c r="C12" i="9"/>
  <c r="C19" i="9" s="1"/>
  <c r="C23" i="9" s="1"/>
  <c r="C10" i="8"/>
  <c r="C12" i="8" s="1"/>
  <c r="C19" i="8" s="1"/>
  <c r="C23" i="8" s="1"/>
  <c r="C10" i="7"/>
  <c r="C12" i="7" s="1"/>
  <c r="C19" i="7" s="1"/>
  <c r="C23" i="7" s="1"/>
  <c r="C27" i="7" s="1"/>
  <c r="C10" i="6"/>
  <c r="C12" i="6" s="1"/>
  <c r="C19" i="6" s="1"/>
  <c r="C23" i="6" s="1"/>
  <c r="D11" i="5"/>
  <c r="D13" i="5" s="1"/>
  <c r="D20" i="5" s="1"/>
  <c r="D24" i="5" s="1"/>
  <c r="D12" i="4"/>
  <c r="D14" i="4" s="1"/>
  <c r="D21" i="4" s="1"/>
  <c r="D25" i="4" s="1"/>
  <c r="D22" i="3"/>
  <c r="D26" i="3" s="1"/>
  <c r="D20" i="2"/>
  <c r="D24" i="2" s="1"/>
  <c r="I15" i="1" l="1"/>
  <c r="K15" i="1" s="1"/>
  <c r="M15" i="1" s="1"/>
  <c r="I25" i="1"/>
  <c r="K25" i="1" s="1"/>
  <c r="M25" i="1" s="1"/>
  <c r="I23" i="1"/>
  <c r="K23" i="1" s="1"/>
  <c r="M23" i="1" s="1"/>
  <c r="I27" i="1"/>
  <c r="K27" i="1" s="1"/>
  <c r="O27" i="1" s="1"/>
  <c r="R27" i="1" s="1"/>
  <c r="P27" i="1" s="1"/>
  <c r="I13" i="1"/>
  <c r="I29" i="1"/>
  <c r="K29" i="1" s="1"/>
  <c r="M29" i="1" s="1"/>
  <c r="I17" i="1"/>
  <c r="K17" i="1" s="1"/>
  <c r="O17" i="1" s="1"/>
  <c r="R17" i="1" s="1"/>
  <c r="P17" i="1" s="1"/>
  <c r="Q17" i="1" s="1"/>
  <c r="I31" i="1"/>
  <c r="K31" i="1" s="1"/>
  <c r="O31" i="1" s="1"/>
  <c r="I21" i="1"/>
  <c r="K21" i="1" s="1"/>
  <c r="O21" i="1" s="1"/>
  <c r="R21" i="1" s="1"/>
  <c r="P21" i="1" s="1"/>
  <c r="Q21" i="1" s="1"/>
  <c r="I7" i="1"/>
  <c r="K7" i="1" s="1"/>
  <c r="O7" i="1" s="1"/>
  <c r="I11" i="1"/>
  <c r="K11" i="1" s="1"/>
  <c r="I9" i="1"/>
  <c r="K9" i="1" s="1"/>
  <c r="O19" i="1"/>
  <c r="R19" i="1" s="1"/>
  <c r="P19" i="1" s="1"/>
  <c r="Q19" i="1" s="1"/>
  <c r="K13" i="1" l="1"/>
  <c r="M13" i="1" s="1"/>
  <c r="O15" i="1"/>
  <c r="R15" i="1" s="1"/>
  <c r="P15" i="1" s="1"/>
  <c r="Q15" i="1" s="1"/>
  <c r="O25" i="1"/>
  <c r="R25" i="1" s="1"/>
  <c r="P25" i="1" s="1"/>
  <c r="Q25" i="1" s="1"/>
  <c r="O9" i="1"/>
  <c r="R9" i="1" s="1"/>
  <c r="P9" i="1" s="1"/>
  <c r="Q9" i="1" s="1"/>
  <c r="M27" i="1"/>
  <c r="O23" i="1"/>
  <c r="R23" i="1" s="1"/>
  <c r="P23" i="1" s="1"/>
  <c r="Q23" i="1" s="1"/>
  <c r="M21" i="1"/>
  <c r="M31" i="1"/>
  <c r="R31" i="1"/>
  <c r="P31" i="1" s="1"/>
  <c r="Q31" i="1" s="1"/>
  <c r="Q27" i="1"/>
  <c r="M17" i="1"/>
  <c r="O29" i="1"/>
  <c r="R29" i="1" s="1"/>
  <c r="P29" i="1" s="1"/>
  <c r="Q29" i="1" s="1"/>
  <c r="O11" i="1"/>
  <c r="M11" i="1"/>
  <c r="M7" i="1"/>
  <c r="R7" i="1"/>
  <c r="P7" i="1" s="1"/>
  <c r="Q7" i="1" s="1"/>
  <c r="O13" i="1" l="1"/>
  <c r="R13" i="1" s="1"/>
  <c r="P13" i="1" s="1"/>
  <c r="Q13" i="1" s="1"/>
  <c r="R11" i="1"/>
  <c r="P11" i="1" s="1"/>
  <c r="Q11" i="1" s="1"/>
</calcChain>
</file>

<file path=xl/sharedStrings.xml><?xml version="1.0" encoding="utf-8"?>
<sst xmlns="http://schemas.openxmlformats.org/spreadsheetml/2006/main" count="258" uniqueCount="68">
  <si>
    <t>Benefit in Kind</t>
  </si>
  <si>
    <t>Reliefs</t>
  </si>
  <si>
    <t>PAYE</t>
  </si>
  <si>
    <t>FULL TIME STAFF</t>
  </si>
  <si>
    <t>Fuel (5%)</t>
  </si>
  <si>
    <t>Assessable Income</t>
  </si>
  <si>
    <t>SSF(5.5%)</t>
  </si>
  <si>
    <t>Chargeable Income</t>
  </si>
  <si>
    <t>Tax Payable</t>
  </si>
  <si>
    <t>Net Salary</t>
  </si>
  <si>
    <t>Loan</t>
  </si>
  <si>
    <t>Reimbursement Transportation</t>
  </si>
  <si>
    <t>Take Home</t>
  </si>
  <si>
    <t>Back Pay</t>
  </si>
  <si>
    <t>Gross Take Home</t>
  </si>
  <si>
    <t>April Take Home</t>
  </si>
  <si>
    <t>March  Take Home</t>
  </si>
  <si>
    <t>April PAYE</t>
  </si>
  <si>
    <t>March PAYE</t>
  </si>
  <si>
    <t>Back PAYE</t>
  </si>
  <si>
    <t>Tier 2</t>
  </si>
  <si>
    <t>Tier 3 (7%)</t>
  </si>
  <si>
    <t>AYESU-DJAN JOSEPHINE</t>
  </si>
  <si>
    <t>MICHAEL HUMPHREY LAMPTEY</t>
  </si>
  <si>
    <t>DR FRANCIS EDUKU</t>
  </si>
  <si>
    <t>GHS</t>
  </si>
  <si>
    <t>Previous Basic Salary</t>
  </si>
  <si>
    <t>Revised Basic Salary</t>
  </si>
  <si>
    <t>Allowance</t>
  </si>
  <si>
    <t>Reliefs (Deduction)</t>
  </si>
  <si>
    <t>Total Cash Emolument</t>
  </si>
  <si>
    <t>Fuel (5% of Total Cash Emolument)</t>
  </si>
  <si>
    <t>Social Security Fund (5.5% of Basic Salary)</t>
  </si>
  <si>
    <t>Profident Fund (7% of Basic Salary)</t>
  </si>
  <si>
    <t>JOSEPHINE AYESU</t>
  </si>
  <si>
    <t>Reliefs (Deductions)</t>
  </si>
  <si>
    <t>Provident Fund (7% of Basic Salary)</t>
  </si>
  <si>
    <t>PAYE (Tax)</t>
  </si>
  <si>
    <t>Provident Fund</t>
  </si>
  <si>
    <t>Less PAYE (Tax)</t>
  </si>
  <si>
    <t>Add Benefit in Kind</t>
  </si>
  <si>
    <t>Refund of Transportation</t>
  </si>
  <si>
    <t>Les PAYE (Tax)</t>
  </si>
  <si>
    <t>Less PAYE</t>
  </si>
  <si>
    <t>Less Loan</t>
  </si>
  <si>
    <t>Net Amount</t>
  </si>
  <si>
    <t>TOTAL</t>
  </si>
  <si>
    <t>After Loan</t>
  </si>
  <si>
    <t>S/N</t>
  </si>
  <si>
    <t>Revised Basic Salary(10%) For April 2025</t>
  </si>
  <si>
    <t>KWAME</t>
  </si>
  <si>
    <t>BOATENG</t>
  </si>
  <si>
    <t>MAAMA</t>
  </si>
  <si>
    <t>MANSA DC</t>
  </si>
  <si>
    <t>APPIAH</t>
  </si>
  <si>
    <t>TIFFANY</t>
  </si>
  <si>
    <t>APAPA</t>
  </si>
  <si>
    <t>GENEVIVE</t>
  </si>
  <si>
    <t>KK. HARI</t>
  </si>
  <si>
    <t>UNCLE</t>
  </si>
  <si>
    <t>OBAAPA</t>
  </si>
  <si>
    <t>BASIC SALARY</t>
  </si>
  <si>
    <t>D+E=F</t>
  </si>
  <si>
    <t>F-(G+H)=i</t>
  </si>
  <si>
    <t>K-L=M</t>
  </si>
  <si>
    <t>18%*BASIC SALARY=N</t>
  </si>
  <si>
    <t>M+N=O</t>
  </si>
  <si>
    <t>I-J=K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</si>
</sst>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0" borderId="0" xfId="0" applyFont="1"/>
    <xf numFmtId="43" fontId="1" fillId="0" borderId="0" xfId="1" applyFont="1"/>
    <xf numFmtId="43" fontId="0" fillId="0" borderId="0" xfId="1" applyFont="1"/>
    <xf numFmtId="0" fontId="0" fillId="3" borderId="0" xfId="0" applyFill="1"/>
    <xf numFmtId="0" fontId="0" fillId="0" borderId="1" xfId="0" applyBorder="1"/>
    <xf numFmtId="0" fontId="1" fillId="0" borderId="1" xfId="0" applyFont="1" applyBorder="1"/>
    <xf numFmtId="43" fontId="1" fillId="0" borderId="1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 applyAlignment="1">
      <alignment horizontal="center"/>
    </xf>
    <xf numFmtId="43" fontId="1" fillId="0" borderId="1" xfId="0" applyNumberFormat="1" applyFont="1" applyBorder="1"/>
    <xf numFmtId="0" fontId="1" fillId="2" borderId="1" xfId="0" applyFont="1" applyFill="1" applyBorder="1"/>
    <xf numFmtId="43" fontId="1" fillId="2" borderId="1" xfId="1" applyFont="1" applyFill="1" applyBorder="1"/>
    <xf numFmtId="43" fontId="1" fillId="4" borderId="1" xfId="1" applyFont="1" applyFill="1" applyBorder="1"/>
    <xf numFmtId="43" fontId="1" fillId="2" borderId="1" xfId="0" applyNumberFormat="1" applyFont="1" applyFill="1" applyBorder="1"/>
    <xf numFmtId="43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43" fontId="1" fillId="3" borderId="1" xfId="0" applyNumberFormat="1" applyFont="1" applyFill="1" applyBorder="1"/>
    <xf numFmtId="43" fontId="1" fillId="0" borderId="0" xfId="0" applyNumberFormat="1" applyFont="1"/>
    <xf numFmtId="0" fontId="1" fillId="3" borderId="1" xfId="0" applyFont="1" applyFill="1" applyBorder="1"/>
    <xf numFmtId="43" fontId="1" fillId="2" borderId="0" xfId="0" applyNumberFormat="1" applyFont="1" applyFill="1"/>
    <xf numFmtId="43" fontId="0" fillId="0" borderId="0" xfId="0" applyNumberFormat="1"/>
    <xf numFmtId="43" fontId="0" fillId="2" borderId="0" xfId="1" applyFont="1" applyFill="1"/>
    <xf numFmtId="0" fontId="4" fillId="0" borderId="0" xfId="0" applyFont="1"/>
    <xf numFmtId="43" fontId="4" fillId="0" borderId="0" xfId="1" applyFont="1" applyAlignment="1">
      <alignment horizontal="right"/>
    </xf>
    <xf numFmtId="0" fontId="5" fillId="0" borderId="0" xfId="0" applyFont="1"/>
    <xf numFmtId="43" fontId="4" fillId="0" borderId="0" xfId="1" applyFont="1"/>
    <xf numFmtId="43" fontId="4" fillId="0" borderId="0" xfId="0" applyNumberFormat="1" applyFont="1"/>
    <xf numFmtId="43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43" fontId="5" fillId="0" borderId="0" xfId="0" applyNumberFormat="1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6" fillId="0" borderId="0" xfId="0" applyFont="1"/>
    <xf numFmtId="43" fontId="5" fillId="0" borderId="0" xfId="1" applyFont="1"/>
    <xf numFmtId="43" fontId="4" fillId="0" borderId="0" xfId="1" applyFont="1" applyBorder="1"/>
    <xf numFmtId="43" fontId="6" fillId="0" borderId="0" xfId="1" applyFont="1"/>
    <xf numFmtId="0" fontId="6" fillId="3" borderId="0" xfId="0" applyFont="1" applyFill="1"/>
    <xf numFmtId="0" fontId="5" fillId="0" borderId="1" xfId="0" applyFont="1" applyBorder="1"/>
    <xf numFmtId="0" fontId="7" fillId="5" borderId="1" xfId="0" applyFont="1" applyFill="1" applyBorder="1"/>
    <xf numFmtId="43" fontId="7" fillId="5" borderId="1" xfId="1" applyFont="1" applyFill="1" applyBorder="1"/>
    <xf numFmtId="0" fontId="7" fillId="5" borderId="1" xfId="0" applyFont="1" applyFill="1" applyBorder="1" applyAlignment="1">
      <alignment horizontal="center"/>
    </xf>
    <xf numFmtId="43" fontId="7" fillId="5" borderId="1" xfId="1" applyFont="1" applyFill="1" applyBorder="1" applyAlignment="1">
      <alignment horizontal="center"/>
    </xf>
    <xf numFmtId="0" fontId="7" fillId="5" borderId="0" xfId="0" applyFont="1" applyFill="1"/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8" fillId="5" borderId="0" xfId="0" applyFont="1" applyFill="1"/>
    <xf numFmtId="43" fontId="7" fillId="0" borderId="1" xfId="1" applyFont="1" applyBorder="1"/>
    <xf numFmtId="0" fontId="7" fillId="0" borderId="4" xfId="0" applyFont="1" applyBorder="1"/>
    <xf numFmtId="43" fontId="7" fillId="0" borderId="5" xfId="1" applyFont="1" applyBorder="1"/>
    <xf numFmtId="0" fontId="8" fillId="0" borderId="5" xfId="0" applyFont="1" applyBorder="1"/>
    <xf numFmtId="43" fontId="9" fillId="0" borderId="5" xfId="1" applyFont="1" applyBorder="1"/>
    <xf numFmtId="0" fontId="2" fillId="0" borderId="1" xfId="0" applyFon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7" fontId="1" fillId="0" borderId="1" xfId="1" applyNumberFormat="1" applyFont="1" applyBorder="1"/>
    <xf numFmtId="43" fontId="1" fillId="0" borderId="0" xfId="1" applyFont="1" applyBorder="1"/>
    <xf numFmtId="43" fontId="1" fillId="3" borderId="0" xfId="0" applyNumberFormat="1" applyFont="1" applyFill="1"/>
    <xf numFmtId="0" fontId="4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6" fillId="0" borderId="1" xfId="0" applyFont="1" applyBorder="1"/>
    <xf numFmtId="43" fontId="7" fillId="0" borderId="5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ROLL%20FOR%20MARCH%202025-MICHA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th Month -22 Payroll "/>
      <sheetName val="Test"/>
      <sheetName val="Summary"/>
      <sheetName val="MARCH 2025"/>
      <sheetName val="September 2024 Payroll"/>
      <sheetName val="Slips All"/>
      <sheetName val="Slips-CEO"/>
      <sheetName val="Pay Slips"/>
      <sheetName val="Josephine"/>
      <sheetName val="John"/>
      <sheetName val="Sheet2"/>
      <sheetName val="APRIL New"/>
      <sheetName val="November Payroll JM"/>
      <sheetName val="Tier 1"/>
      <sheetName val="Tier 2"/>
      <sheetName val="Tier 3"/>
      <sheetName val="Income Tax"/>
    </sheetNames>
    <sheetDataSet>
      <sheetData sheetId="0"/>
      <sheetData sheetId="1"/>
      <sheetData sheetId="2"/>
      <sheetData sheetId="3">
        <row r="28">
          <cell r="K28">
            <v>7453.6662500000002</v>
          </cell>
          <cell r="W28">
            <v>29341.333750000002</v>
          </cell>
        </row>
        <row r="29">
          <cell r="K29">
            <v>2943.9697500000002</v>
          </cell>
          <cell r="W29">
            <v>12437.181200000001</v>
          </cell>
        </row>
        <row r="30">
          <cell r="K30">
            <v>1466.9047499999999</v>
          </cell>
          <cell r="W30">
            <v>6974.9204</v>
          </cell>
        </row>
        <row r="31">
          <cell r="K31">
            <v>348.73725000000002</v>
          </cell>
          <cell r="W31">
            <v>2607.3695849999999</v>
          </cell>
        </row>
        <row r="32">
          <cell r="K32">
            <v>1171.57725</v>
          </cell>
          <cell r="W32">
            <v>6646.653225</v>
          </cell>
        </row>
        <row r="33">
          <cell r="K33">
            <v>1868.1022499999999</v>
          </cell>
          <cell r="W33">
            <v>8386.4238999999998</v>
          </cell>
        </row>
        <row r="34">
          <cell r="K34">
            <v>728.04</v>
          </cell>
          <cell r="W34">
            <v>3790.0986250000001</v>
          </cell>
        </row>
        <row r="35">
          <cell r="K35">
            <v>688.57725000000005</v>
          </cell>
          <cell r="W35">
            <v>4003.2779599999999</v>
          </cell>
        </row>
        <row r="36">
          <cell r="K36">
            <v>2299.7197500000002</v>
          </cell>
          <cell r="W36">
            <v>9974.3084999999992</v>
          </cell>
        </row>
        <row r="37">
          <cell r="K37">
            <v>1181.2597499999999</v>
          </cell>
          <cell r="W37">
            <v>5969.9733500000002</v>
          </cell>
        </row>
        <row r="38">
          <cell r="K38">
            <v>491.392</v>
          </cell>
          <cell r="W38">
            <v>3385.49035</v>
          </cell>
        </row>
        <row r="39">
          <cell r="K39">
            <v>225.78049999999999</v>
          </cell>
          <cell r="W39">
            <v>1499.1952000000001</v>
          </cell>
        </row>
        <row r="40">
          <cell r="K40">
            <v>385.18624999999997</v>
          </cell>
          <cell r="W40">
            <v>2806.1887499999998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2"/>
  <sheetViews>
    <sheetView tabSelected="1" topLeftCell="A3" workbookViewId="0">
      <pane xSplit="2" ySplit="2" topLeftCell="C30" activePane="bottomRight" state="frozen"/>
      <selection activeCell="B27" sqref="B27:D29"/>
      <selection pane="topRight" activeCell="B27" sqref="B27:D29"/>
      <selection pane="bottomLeft" activeCell="B27" sqref="B27:D29"/>
      <selection pane="bottomRight" activeCell="O38" sqref="O38"/>
    </sheetView>
  </sheetViews>
  <sheetFormatPr defaultColWidth="9" defaultRowHeight="14.5"/>
  <cols>
    <col min="2" max="2" width="36.81640625" customWidth="1"/>
    <col min="3" max="3" width="43.453125" style="3" hidden="1" customWidth="1"/>
    <col min="4" max="4" width="44.26953125" style="3" customWidth="1"/>
    <col min="5" max="5" width="21.54296875" customWidth="1"/>
    <col min="6" max="6" width="22.54296875" customWidth="1"/>
    <col min="7" max="8" width="15.6328125" customWidth="1"/>
    <col min="9" max="9" width="22.54296875" customWidth="1"/>
    <col min="10" max="10" width="12.54296875" style="4" customWidth="1"/>
    <col min="11" max="11" width="14.6328125" style="4" customWidth="1"/>
    <col min="12" max="12" width="10.08984375" bestFit="1" customWidth="1"/>
    <col min="13" max="13" width="13.26953125" customWidth="1"/>
    <col min="14" max="14" width="30.36328125" style="5" customWidth="1"/>
    <col min="15" max="15" width="12" customWidth="1"/>
    <col min="16" max="16" width="10.08984375" style="5" hidden="1" customWidth="1"/>
    <col min="17" max="18" width="17.26953125" hidden="1" customWidth="1"/>
    <col min="19" max="19" width="19.81640625" hidden="1" customWidth="1"/>
    <col min="20" max="20" width="11.1796875" hidden="1" customWidth="1"/>
    <col min="21" max="21" width="15.36328125" hidden="1" customWidth="1"/>
    <col min="22" max="22" width="14.26953125" hidden="1" customWidth="1"/>
    <col min="260" max="260" width="33.90625" customWidth="1"/>
    <col min="261" max="261" width="26.7265625" customWidth="1"/>
    <col min="262" max="262" width="31.08984375" customWidth="1"/>
    <col min="263" max="263" width="21.54296875" customWidth="1"/>
    <col min="264" max="264" width="22.54296875" customWidth="1"/>
    <col min="265" max="266" width="15.6328125" customWidth="1"/>
    <col min="267" max="267" width="22.54296875" customWidth="1"/>
    <col min="268" max="268" width="12.54296875" customWidth="1"/>
    <col min="269" max="269" width="14.6328125" customWidth="1"/>
    <col min="271" max="271" width="27.7265625" customWidth="1"/>
    <col min="272" max="274" width="10.08984375" customWidth="1"/>
    <col min="275" max="275" width="9.08984375" customWidth="1"/>
    <col min="516" max="516" width="33.90625" customWidth="1"/>
    <col min="517" max="517" width="26.7265625" customWidth="1"/>
    <col min="518" max="518" width="31.08984375" customWidth="1"/>
    <col min="519" max="519" width="21.54296875" customWidth="1"/>
    <col min="520" max="520" width="22.54296875" customWidth="1"/>
    <col min="521" max="522" width="15.6328125" customWidth="1"/>
    <col min="523" max="523" width="22.54296875" customWidth="1"/>
    <col min="524" max="524" width="12.54296875" customWidth="1"/>
    <col min="525" max="525" width="14.6328125" customWidth="1"/>
    <col min="527" max="527" width="27.7265625" customWidth="1"/>
    <col min="528" max="530" width="10.08984375" customWidth="1"/>
    <col min="531" max="531" width="9.08984375" customWidth="1"/>
    <col min="772" max="772" width="33.90625" customWidth="1"/>
    <col min="773" max="773" width="26.7265625" customWidth="1"/>
    <col min="774" max="774" width="31.08984375" customWidth="1"/>
    <col min="775" max="775" width="21.54296875" customWidth="1"/>
    <col min="776" max="776" width="22.54296875" customWidth="1"/>
    <col min="777" max="778" width="15.6328125" customWidth="1"/>
    <col min="779" max="779" width="22.54296875" customWidth="1"/>
    <col min="780" max="780" width="12.54296875" customWidth="1"/>
    <col min="781" max="781" width="14.6328125" customWidth="1"/>
    <col min="783" max="783" width="27.7265625" customWidth="1"/>
    <col min="784" max="786" width="10.08984375" customWidth="1"/>
    <col min="787" max="787" width="9.08984375" customWidth="1"/>
    <col min="1028" max="1028" width="33.90625" customWidth="1"/>
    <col min="1029" max="1029" width="26.7265625" customWidth="1"/>
    <col min="1030" max="1030" width="31.08984375" customWidth="1"/>
    <col min="1031" max="1031" width="21.54296875" customWidth="1"/>
    <col min="1032" max="1032" width="22.54296875" customWidth="1"/>
    <col min="1033" max="1034" width="15.6328125" customWidth="1"/>
    <col min="1035" max="1035" width="22.54296875" customWidth="1"/>
    <col min="1036" max="1036" width="12.54296875" customWidth="1"/>
    <col min="1037" max="1037" width="14.6328125" customWidth="1"/>
    <col min="1039" max="1039" width="27.7265625" customWidth="1"/>
    <col min="1040" max="1042" width="10.08984375" customWidth="1"/>
    <col min="1043" max="1043" width="9.08984375" customWidth="1"/>
    <col min="1284" max="1284" width="33.90625" customWidth="1"/>
    <col min="1285" max="1285" width="26.7265625" customWidth="1"/>
    <col min="1286" max="1286" width="31.08984375" customWidth="1"/>
    <col min="1287" max="1287" width="21.54296875" customWidth="1"/>
    <col min="1288" max="1288" width="22.54296875" customWidth="1"/>
    <col min="1289" max="1290" width="15.6328125" customWidth="1"/>
    <col min="1291" max="1291" width="22.54296875" customWidth="1"/>
    <col min="1292" max="1292" width="12.54296875" customWidth="1"/>
    <col min="1293" max="1293" width="14.6328125" customWidth="1"/>
    <col min="1295" max="1295" width="27.7265625" customWidth="1"/>
    <col min="1296" max="1298" width="10.08984375" customWidth="1"/>
    <col min="1299" max="1299" width="9.08984375" customWidth="1"/>
    <col min="1540" max="1540" width="33.90625" customWidth="1"/>
    <col min="1541" max="1541" width="26.7265625" customWidth="1"/>
    <col min="1542" max="1542" width="31.08984375" customWidth="1"/>
    <col min="1543" max="1543" width="21.54296875" customWidth="1"/>
    <col min="1544" max="1544" width="22.54296875" customWidth="1"/>
    <col min="1545" max="1546" width="15.6328125" customWidth="1"/>
    <col min="1547" max="1547" width="22.54296875" customWidth="1"/>
    <col min="1548" max="1548" width="12.54296875" customWidth="1"/>
    <col min="1549" max="1549" width="14.6328125" customWidth="1"/>
    <col min="1551" max="1551" width="27.7265625" customWidth="1"/>
    <col min="1552" max="1554" width="10.08984375" customWidth="1"/>
    <col min="1555" max="1555" width="9.08984375" customWidth="1"/>
    <col min="1796" max="1796" width="33.90625" customWidth="1"/>
    <col min="1797" max="1797" width="26.7265625" customWidth="1"/>
    <col min="1798" max="1798" width="31.08984375" customWidth="1"/>
    <col min="1799" max="1799" width="21.54296875" customWidth="1"/>
    <col min="1800" max="1800" width="22.54296875" customWidth="1"/>
    <col min="1801" max="1802" width="15.6328125" customWidth="1"/>
    <col min="1803" max="1803" width="22.54296875" customWidth="1"/>
    <col min="1804" max="1804" width="12.54296875" customWidth="1"/>
    <col min="1805" max="1805" width="14.6328125" customWidth="1"/>
    <col min="1807" max="1807" width="27.7265625" customWidth="1"/>
    <col min="1808" max="1810" width="10.08984375" customWidth="1"/>
    <col min="1811" max="1811" width="9.08984375" customWidth="1"/>
    <col min="2052" max="2052" width="33.90625" customWidth="1"/>
    <col min="2053" max="2053" width="26.7265625" customWidth="1"/>
    <col min="2054" max="2054" width="31.08984375" customWidth="1"/>
    <col min="2055" max="2055" width="21.54296875" customWidth="1"/>
    <col min="2056" max="2056" width="22.54296875" customWidth="1"/>
    <col min="2057" max="2058" width="15.6328125" customWidth="1"/>
    <col min="2059" max="2059" width="22.54296875" customWidth="1"/>
    <col min="2060" max="2060" width="12.54296875" customWidth="1"/>
    <col min="2061" max="2061" width="14.6328125" customWidth="1"/>
    <col min="2063" max="2063" width="27.7265625" customWidth="1"/>
    <col min="2064" max="2066" width="10.08984375" customWidth="1"/>
    <col min="2067" max="2067" width="9.08984375" customWidth="1"/>
    <col min="2308" max="2308" width="33.90625" customWidth="1"/>
    <col min="2309" max="2309" width="26.7265625" customWidth="1"/>
    <col min="2310" max="2310" width="31.08984375" customWidth="1"/>
    <col min="2311" max="2311" width="21.54296875" customWidth="1"/>
    <col min="2312" max="2312" width="22.54296875" customWidth="1"/>
    <col min="2313" max="2314" width="15.6328125" customWidth="1"/>
    <col min="2315" max="2315" width="22.54296875" customWidth="1"/>
    <col min="2316" max="2316" width="12.54296875" customWidth="1"/>
    <col min="2317" max="2317" width="14.6328125" customWidth="1"/>
    <col min="2319" max="2319" width="27.7265625" customWidth="1"/>
    <col min="2320" max="2322" width="10.08984375" customWidth="1"/>
    <col min="2323" max="2323" width="9.08984375" customWidth="1"/>
    <col min="2564" max="2564" width="33.90625" customWidth="1"/>
    <col min="2565" max="2565" width="26.7265625" customWidth="1"/>
    <col min="2566" max="2566" width="31.08984375" customWidth="1"/>
    <col min="2567" max="2567" width="21.54296875" customWidth="1"/>
    <col min="2568" max="2568" width="22.54296875" customWidth="1"/>
    <col min="2569" max="2570" width="15.6328125" customWidth="1"/>
    <col min="2571" max="2571" width="22.54296875" customWidth="1"/>
    <col min="2572" max="2572" width="12.54296875" customWidth="1"/>
    <col min="2573" max="2573" width="14.6328125" customWidth="1"/>
    <col min="2575" max="2575" width="27.7265625" customWidth="1"/>
    <col min="2576" max="2578" width="10.08984375" customWidth="1"/>
    <col min="2579" max="2579" width="9.08984375" customWidth="1"/>
    <col min="2820" max="2820" width="33.90625" customWidth="1"/>
    <col min="2821" max="2821" width="26.7265625" customWidth="1"/>
    <col min="2822" max="2822" width="31.08984375" customWidth="1"/>
    <col min="2823" max="2823" width="21.54296875" customWidth="1"/>
    <col min="2824" max="2824" width="22.54296875" customWidth="1"/>
    <col min="2825" max="2826" width="15.6328125" customWidth="1"/>
    <col min="2827" max="2827" width="22.54296875" customWidth="1"/>
    <col min="2828" max="2828" width="12.54296875" customWidth="1"/>
    <col min="2829" max="2829" width="14.6328125" customWidth="1"/>
    <col min="2831" max="2831" width="27.7265625" customWidth="1"/>
    <col min="2832" max="2834" width="10.08984375" customWidth="1"/>
    <col min="2835" max="2835" width="9.08984375" customWidth="1"/>
    <col min="3076" max="3076" width="33.90625" customWidth="1"/>
    <col min="3077" max="3077" width="26.7265625" customWidth="1"/>
    <col min="3078" max="3078" width="31.08984375" customWidth="1"/>
    <col min="3079" max="3079" width="21.54296875" customWidth="1"/>
    <col min="3080" max="3080" width="22.54296875" customWidth="1"/>
    <col min="3081" max="3082" width="15.6328125" customWidth="1"/>
    <col min="3083" max="3083" width="22.54296875" customWidth="1"/>
    <col min="3084" max="3084" width="12.54296875" customWidth="1"/>
    <col min="3085" max="3085" width="14.6328125" customWidth="1"/>
    <col min="3087" max="3087" width="27.7265625" customWidth="1"/>
    <col min="3088" max="3090" width="10.08984375" customWidth="1"/>
    <col min="3091" max="3091" width="9.08984375" customWidth="1"/>
    <col min="3332" max="3332" width="33.90625" customWidth="1"/>
    <col min="3333" max="3333" width="26.7265625" customWidth="1"/>
    <col min="3334" max="3334" width="31.08984375" customWidth="1"/>
    <col min="3335" max="3335" width="21.54296875" customWidth="1"/>
    <col min="3336" max="3336" width="22.54296875" customWidth="1"/>
    <col min="3337" max="3338" width="15.6328125" customWidth="1"/>
    <col min="3339" max="3339" width="22.54296875" customWidth="1"/>
    <col min="3340" max="3340" width="12.54296875" customWidth="1"/>
    <col min="3341" max="3341" width="14.6328125" customWidth="1"/>
    <col min="3343" max="3343" width="27.7265625" customWidth="1"/>
    <col min="3344" max="3346" width="10.08984375" customWidth="1"/>
    <col min="3347" max="3347" width="9.08984375" customWidth="1"/>
    <col min="3588" max="3588" width="33.90625" customWidth="1"/>
    <col min="3589" max="3589" width="26.7265625" customWidth="1"/>
    <col min="3590" max="3590" width="31.08984375" customWidth="1"/>
    <col min="3591" max="3591" width="21.54296875" customWidth="1"/>
    <col min="3592" max="3592" width="22.54296875" customWidth="1"/>
    <col min="3593" max="3594" width="15.6328125" customWidth="1"/>
    <col min="3595" max="3595" width="22.54296875" customWidth="1"/>
    <col min="3596" max="3596" width="12.54296875" customWidth="1"/>
    <col min="3597" max="3597" width="14.6328125" customWidth="1"/>
    <col min="3599" max="3599" width="27.7265625" customWidth="1"/>
    <col min="3600" max="3602" width="10.08984375" customWidth="1"/>
    <col min="3603" max="3603" width="9.08984375" customWidth="1"/>
    <col min="3844" max="3844" width="33.90625" customWidth="1"/>
    <col min="3845" max="3845" width="26.7265625" customWidth="1"/>
    <col min="3846" max="3846" width="31.08984375" customWidth="1"/>
    <col min="3847" max="3847" width="21.54296875" customWidth="1"/>
    <col min="3848" max="3848" width="22.54296875" customWidth="1"/>
    <col min="3849" max="3850" width="15.6328125" customWidth="1"/>
    <col min="3851" max="3851" width="22.54296875" customWidth="1"/>
    <col min="3852" max="3852" width="12.54296875" customWidth="1"/>
    <col min="3853" max="3853" width="14.6328125" customWidth="1"/>
    <col min="3855" max="3855" width="27.7265625" customWidth="1"/>
    <col min="3856" max="3858" width="10.08984375" customWidth="1"/>
    <col min="3859" max="3859" width="9.08984375" customWidth="1"/>
    <col min="4100" max="4100" width="33.90625" customWidth="1"/>
    <col min="4101" max="4101" width="26.7265625" customWidth="1"/>
    <col min="4102" max="4102" width="31.08984375" customWidth="1"/>
    <col min="4103" max="4103" width="21.54296875" customWidth="1"/>
    <col min="4104" max="4104" width="22.54296875" customWidth="1"/>
    <col min="4105" max="4106" width="15.6328125" customWidth="1"/>
    <col min="4107" max="4107" width="22.54296875" customWidth="1"/>
    <col min="4108" max="4108" width="12.54296875" customWidth="1"/>
    <col min="4109" max="4109" width="14.6328125" customWidth="1"/>
    <col min="4111" max="4111" width="27.7265625" customWidth="1"/>
    <col min="4112" max="4114" width="10.08984375" customWidth="1"/>
    <col min="4115" max="4115" width="9.08984375" customWidth="1"/>
    <col min="4356" max="4356" width="33.90625" customWidth="1"/>
    <col min="4357" max="4357" width="26.7265625" customWidth="1"/>
    <col min="4358" max="4358" width="31.08984375" customWidth="1"/>
    <col min="4359" max="4359" width="21.54296875" customWidth="1"/>
    <col min="4360" max="4360" width="22.54296875" customWidth="1"/>
    <col min="4361" max="4362" width="15.6328125" customWidth="1"/>
    <col min="4363" max="4363" width="22.54296875" customWidth="1"/>
    <col min="4364" max="4364" width="12.54296875" customWidth="1"/>
    <col min="4365" max="4365" width="14.6328125" customWidth="1"/>
    <col min="4367" max="4367" width="27.7265625" customWidth="1"/>
    <col min="4368" max="4370" width="10.08984375" customWidth="1"/>
    <col min="4371" max="4371" width="9.08984375" customWidth="1"/>
    <col min="4612" max="4612" width="33.90625" customWidth="1"/>
    <col min="4613" max="4613" width="26.7265625" customWidth="1"/>
    <col min="4614" max="4614" width="31.08984375" customWidth="1"/>
    <col min="4615" max="4615" width="21.54296875" customWidth="1"/>
    <col min="4616" max="4616" width="22.54296875" customWidth="1"/>
    <col min="4617" max="4618" width="15.6328125" customWidth="1"/>
    <col min="4619" max="4619" width="22.54296875" customWidth="1"/>
    <col min="4620" max="4620" width="12.54296875" customWidth="1"/>
    <col min="4621" max="4621" width="14.6328125" customWidth="1"/>
    <col min="4623" max="4623" width="27.7265625" customWidth="1"/>
    <col min="4624" max="4626" width="10.08984375" customWidth="1"/>
    <col min="4627" max="4627" width="9.08984375" customWidth="1"/>
    <col min="4868" max="4868" width="33.90625" customWidth="1"/>
    <col min="4869" max="4869" width="26.7265625" customWidth="1"/>
    <col min="4870" max="4870" width="31.08984375" customWidth="1"/>
    <col min="4871" max="4871" width="21.54296875" customWidth="1"/>
    <col min="4872" max="4872" width="22.54296875" customWidth="1"/>
    <col min="4873" max="4874" width="15.6328125" customWidth="1"/>
    <col min="4875" max="4875" width="22.54296875" customWidth="1"/>
    <col min="4876" max="4876" width="12.54296875" customWidth="1"/>
    <col min="4877" max="4877" width="14.6328125" customWidth="1"/>
    <col min="4879" max="4879" width="27.7265625" customWidth="1"/>
    <col min="4880" max="4882" width="10.08984375" customWidth="1"/>
    <col min="4883" max="4883" width="9.08984375" customWidth="1"/>
    <col min="5124" max="5124" width="33.90625" customWidth="1"/>
    <col min="5125" max="5125" width="26.7265625" customWidth="1"/>
    <col min="5126" max="5126" width="31.08984375" customWidth="1"/>
    <col min="5127" max="5127" width="21.54296875" customWidth="1"/>
    <col min="5128" max="5128" width="22.54296875" customWidth="1"/>
    <col min="5129" max="5130" width="15.6328125" customWidth="1"/>
    <col min="5131" max="5131" width="22.54296875" customWidth="1"/>
    <col min="5132" max="5132" width="12.54296875" customWidth="1"/>
    <col min="5133" max="5133" width="14.6328125" customWidth="1"/>
    <col min="5135" max="5135" width="27.7265625" customWidth="1"/>
    <col min="5136" max="5138" width="10.08984375" customWidth="1"/>
    <col min="5139" max="5139" width="9.08984375" customWidth="1"/>
    <col min="5380" max="5380" width="33.90625" customWidth="1"/>
    <col min="5381" max="5381" width="26.7265625" customWidth="1"/>
    <col min="5382" max="5382" width="31.08984375" customWidth="1"/>
    <col min="5383" max="5383" width="21.54296875" customWidth="1"/>
    <col min="5384" max="5384" width="22.54296875" customWidth="1"/>
    <col min="5385" max="5386" width="15.6328125" customWidth="1"/>
    <col min="5387" max="5387" width="22.54296875" customWidth="1"/>
    <col min="5388" max="5388" width="12.54296875" customWidth="1"/>
    <col min="5389" max="5389" width="14.6328125" customWidth="1"/>
    <col min="5391" max="5391" width="27.7265625" customWidth="1"/>
    <col min="5392" max="5394" width="10.08984375" customWidth="1"/>
    <col min="5395" max="5395" width="9.08984375" customWidth="1"/>
    <col min="5636" max="5636" width="33.90625" customWidth="1"/>
    <col min="5637" max="5637" width="26.7265625" customWidth="1"/>
    <col min="5638" max="5638" width="31.08984375" customWidth="1"/>
    <col min="5639" max="5639" width="21.54296875" customWidth="1"/>
    <col min="5640" max="5640" width="22.54296875" customWidth="1"/>
    <col min="5641" max="5642" width="15.6328125" customWidth="1"/>
    <col min="5643" max="5643" width="22.54296875" customWidth="1"/>
    <col min="5644" max="5644" width="12.54296875" customWidth="1"/>
    <col min="5645" max="5645" width="14.6328125" customWidth="1"/>
    <col min="5647" max="5647" width="27.7265625" customWidth="1"/>
    <col min="5648" max="5650" width="10.08984375" customWidth="1"/>
    <col min="5651" max="5651" width="9.08984375" customWidth="1"/>
    <col min="5892" max="5892" width="33.90625" customWidth="1"/>
    <col min="5893" max="5893" width="26.7265625" customWidth="1"/>
    <col min="5894" max="5894" width="31.08984375" customWidth="1"/>
    <col min="5895" max="5895" width="21.54296875" customWidth="1"/>
    <col min="5896" max="5896" width="22.54296875" customWidth="1"/>
    <col min="5897" max="5898" width="15.6328125" customWidth="1"/>
    <col min="5899" max="5899" width="22.54296875" customWidth="1"/>
    <col min="5900" max="5900" width="12.54296875" customWidth="1"/>
    <col min="5901" max="5901" width="14.6328125" customWidth="1"/>
    <col min="5903" max="5903" width="27.7265625" customWidth="1"/>
    <col min="5904" max="5906" width="10.08984375" customWidth="1"/>
    <col min="5907" max="5907" width="9.08984375" customWidth="1"/>
    <col min="6148" max="6148" width="33.90625" customWidth="1"/>
    <col min="6149" max="6149" width="26.7265625" customWidth="1"/>
    <col min="6150" max="6150" width="31.08984375" customWidth="1"/>
    <col min="6151" max="6151" width="21.54296875" customWidth="1"/>
    <col min="6152" max="6152" width="22.54296875" customWidth="1"/>
    <col min="6153" max="6154" width="15.6328125" customWidth="1"/>
    <col min="6155" max="6155" width="22.54296875" customWidth="1"/>
    <col min="6156" max="6156" width="12.54296875" customWidth="1"/>
    <col min="6157" max="6157" width="14.6328125" customWidth="1"/>
    <col min="6159" max="6159" width="27.7265625" customWidth="1"/>
    <col min="6160" max="6162" width="10.08984375" customWidth="1"/>
    <col min="6163" max="6163" width="9.08984375" customWidth="1"/>
    <col min="6404" max="6404" width="33.90625" customWidth="1"/>
    <col min="6405" max="6405" width="26.7265625" customWidth="1"/>
    <col min="6406" max="6406" width="31.08984375" customWidth="1"/>
    <col min="6407" max="6407" width="21.54296875" customWidth="1"/>
    <col min="6408" max="6408" width="22.54296875" customWidth="1"/>
    <col min="6409" max="6410" width="15.6328125" customWidth="1"/>
    <col min="6411" max="6411" width="22.54296875" customWidth="1"/>
    <col min="6412" max="6412" width="12.54296875" customWidth="1"/>
    <col min="6413" max="6413" width="14.6328125" customWidth="1"/>
    <col min="6415" max="6415" width="27.7265625" customWidth="1"/>
    <col min="6416" max="6418" width="10.08984375" customWidth="1"/>
    <col min="6419" max="6419" width="9.08984375" customWidth="1"/>
    <col min="6660" max="6660" width="33.90625" customWidth="1"/>
    <col min="6661" max="6661" width="26.7265625" customWidth="1"/>
    <col min="6662" max="6662" width="31.08984375" customWidth="1"/>
    <col min="6663" max="6663" width="21.54296875" customWidth="1"/>
    <col min="6664" max="6664" width="22.54296875" customWidth="1"/>
    <col min="6665" max="6666" width="15.6328125" customWidth="1"/>
    <col min="6667" max="6667" width="22.54296875" customWidth="1"/>
    <col min="6668" max="6668" width="12.54296875" customWidth="1"/>
    <col min="6669" max="6669" width="14.6328125" customWidth="1"/>
    <col min="6671" max="6671" width="27.7265625" customWidth="1"/>
    <col min="6672" max="6674" width="10.08984375" customWidth="1"/>
    <col min="6675" max="6675" width="9.08984375" customWidth="1"/>
    <col min="6916" max="6916" width="33.90625" customWidth="1"/>
    <col min="6917" max="6917" width="26.7265625" customWidth="1"/>
    <col min="6918" max="6918" width="31.08984375" customWidth="1"/>
    <col min="6919" max="6919" width="21.54296875" customWidth="1"/>
    <col min="6920" max="6920" width="22.54296875" customWidth="1"/>
    <col min="6921" max="6922" width="15.6328125" customWidth="1"/>
    <col min="6923" max="6923" width="22.54296875" customWidth="1"/>
    <col min="6924" max="6924" width="12.54296875" customWidth="1"/>
    <col min="6925" max="6925" width="14.6328125" customWidth="1"/>
    <col min="6927" max="6927" width="27.7265625" customWidth="1"/>
    <col min="6928" max="6930" width="10.08984375" customWidth="1"/>
    <col min="6931" max="6931" width="9.08984375" customWidth="1"/>
    <col min="7172" max="7172" width="33.90625" customWidth="1"/>
    <col min="7173" max="7173" width="26.7265625" customWidth="1"/>
    <col min="7174" max="7174" width="31.08984375" customWidth="1"/>
    <col min="7175" max="7175" width="21.54296875" customWidth="1"/>
    <col min="7176" max="7176" width="22.54296875" customWidth="1"/>
    <col min="7177" max="7178" width="15.6328125" customWidth="1"/>
    <col min="7179" max="7179" width="22.54296875" customWidth="1"/>
    <col min="7180" max="7180" width="12.54296875" customWidth="1"/>
    <col min="7181" max="7181" width="14.6328125" customWidth="1"/>
    <col min="7183" max="7183" width="27.7265625" customWidth="1"/>
    <col min="7184" max="7186" width="10.08984375" customWidth="1"/>
    <col min="7187" max="7187" width="9.08984375" customWidth="1"/>
    <col min="7428" max="7428" width="33.90625" customWidth="1"/>
    <col min="7429" max="7429" width="26.7265625" customWidth="1"/>
    <col min="7430" max="7430" width="31.08984375" customWidth="1"/>
    <col min="7431" max="7431" width="21.54296875" customWidth="1"/>
    <col min="7432" max="7432" width="22.54296875" customWidth="1"/>
    <col min="7433" max="7434" width="15.6328125" customWidth="1"/>
    <col min="7435" max="7435" width="22.54296875" customWidth="1"/>
    <col min="7436" max="7436" width="12.54296875" customWidth="1"/>
    <col min="7437" max="7437" width="14.6328125" customWidth="1"/>
    <col min="7439" max="7439" width="27.7265625" customWidth="1"/>
    <col min="7440" max="7442" width="10.08984375" customWidth="1"/>
    <col min="7443" max="7443" width="9.08984375" customWidth="1"/>
    <col min="7684" max="7684" width="33.90625" customWidth="1"/>
    <col min="7685" max="7685" width="26.7265625" customWidth="1"/>
    <col min="7686" max="7686" width="31.08984375" customWidth="1"/>
    <col min="7687" max="7687" width="21.54296875" customWidth="1"/>
    <col min="7688" max="7688" width="22.54296875" customWidth="1"/>
    <col min="7689" max="7690" width="15.6328125" customWidth="1"/>
    <col min="7691" max="7691" width="22.54296875" customWidth="1"/>
    <col min="7692" max="7692" width="12.54296875" customWidth="1"/>
    <col min="7693" max="7693" width="14.6328125" customWidth="1"/>
    <col min="7695" max="7695" width="27.7265625" customWidth="1"/>
    <col min="7696" max="7698" width="10.08984375" customWidth="1"/>
    <col min="7699" max="7699" width="9.08984375" customWidth="1"/>
    <col min="7940" max="7940" width="33.90625" customWidth="1"/>
    <col min="7941" max="7941" width="26.7265625" customWidth="1"/>
    <col min="7942" max="7942" width="31.08984375" customWidth="1"/>
    <col min="7943" max="7943" width="21.54296875" customWidth="1"/>
    <col min="7944" max="7944" width="22.54296875" customWidth="1"/>
    <col min="7945" max="7946" width="15.6328125" customWidth="1"/>
    <col min="7947" max="7947" width="22.54296875" customWidth="1"/>
    <col min="7948" max="7948" width="12.54296875" customWidth="1"/>
    <col min="7949" max="7949" width="14.6328125" customWidth="1"/>
    <col min="7951" max="7951" width="27.7265625" customWidth="1"/>
    <col min="7952" max="7954" width="10.08984375" customWidth="1"/>
    <col min="7955" max="7955" width="9.08984375" customWidth="1"/>
    <col min="8196" max="8196" width="33.90625" customWidth="1"/>
    <col min="8197" max="8197" width="26.7265625" customWidth="1"/>
    <col min="8198" max="8198" width="31.08984375" customWidth="1"/>
    <col min="8199" max="8199" width="21.54296875" customWidth="1"/>
    <col min="8200" max="8200" width="22.54296875" customWidth="1"/>
    <col min="8201" max="8202" width="15.6328125" customWidth="1"/>
    <col min="8203" max="8203" width="22.54296875" customWidth="1"/>
    <col min="8204" max="8204" width="12.54296875" customWidth="1"/>
    <col min="8205" max="8205" width="14.6328125" customWidth="1"/>
    <col min="8207" max="8207" width="27.7265625" customWidth="1"/>
    <col min="8208" max="8210" width="10.08984375" customWidth="1"/>
    <col min="8211" max="8211" width="9.08984375" customWidth="1"/>
    <col min="8452" max="8452" width="33.90625" customWidth="1"/>
    <col min="8453" max="8453" width="26.7265625" customWidth="1"/>
    <col min="8454" max="8454" width="31.08984375" customWidth="1"/>
    <col min="8455" max="8455" width="21.54296875" customWidth="1"/>
    <col min="8456" max="8456" width="22.54296875" customWidth="1"/>
    <col min="8457" max="8458" width="15.6328125" customWidth="1"/>
    <col min="8459" max="8459" width="22.54296875" customWidth="1"/>
    <col min="8460" max="8460" width="12.54296875" customWidth="1"/>
    <col min="8461" max="8461" width="14.6328125" customWidth="1"/>
    <col min="8463" max="8463" width="27.7265625" customWidth="1"/>
    <col min="8464" max="8466" width="10.08984375" customWidth="1"/>
    <col min="8467" max="8467" width="9.08984375" customWidth="1"/>
    <col min="8708" max="8708" width="33.90625" customWidth="1"/>
    <col min="8709" max="8709" width="26.7265625" customWidth="1"/>
    <col min="8710" max="8710" width="31.08984375" customWidth="1"/>
    <col min="8711" max="8711" width="21.54296875" customWidth="1"/>
    <col min="8712" max="8712" width="22.54296875" customWidth="1"/>
    <col min="8713" max="8714" width="15.6328125" customWidth="1"/>
    <col min="8715" max="8715" width="22.54296875" customWidth="1"/>
    <col min="8716" max="8716" width="12.54296875" customWidth="1"/>
    <col min="8717" max="8717" width="14.6328125" customWidth="1"/>
    <col min="8719" max="8719" width="27.7265625" customWidth="1"/>
    <col min="8720" max="8722" width="10.08984375" customWidth="1"/>
    <col min="8723" max="8723" width="9.08984375" customWidth="1"/>
    <col min="8964" max="8964" width="33.90625" customWidth="1"/>
    <col min="8965" max="8965" width="26.7265625" customWidth="1"/>
    <col min="8966" max="8966" width="31.08984375" customWidth="1"/>
    <col min="8967" max="8967" width="21.54296875" customWidth="1"/>
    <col min="8968" max="8968" width="22.54296875" customWidth="1"/>
    <col min="8969" max="8970" width="15.6328125" customWidth="1"/>
    <col min="8971" max="8971" width="22.54296875" customWidth="1"/>
    <col min="8972" max="8972" width="12.54296875" customWidth="1"/>
    <col min="8973" max="8973" width="14.6328125" customWidth="1"/>
    <col min="8975" max="8975" width="27.7265625" customWidth="1"/>
    <col min="8976" max="8978" width="10.08984375" customWidth="1"/>
    <col min="8979" max="8979" width="9.08984375" customWidth="1"/>
    <col min="9220" max="9220" width="33.90625" customWidth="1"/>
    <col min="9221" max="9221" width="26.7265625" customWidth="1"/>
    <col min="9222" max="9222" width="31.08984375" customWidth="1"/>
    <col min="9223" max="9223" width="21.54296875" customWidth="1"/>
    <col min="9224" max="9224" width="22.54296875" customWidth="1"/>
    <col min="9225" max="9226" width="15.6328125" customWidth="1"/>
    <col min="9227" max="9227" width="22.54296875" customWidth="1"/>
    <col min="9228" max="9228" width="12.54296875" customWidth="1"/>
    <col min="9229" max="9229" width="14.6328125" customWidth="1"/>
    <col min="9231" max="9231" width="27.7265625" customWidth="1"/>
    <col min="9232" max="9234" width="10.08984375" customWidth="1"/>
    <col min="9235" max="9235" width="9.08984375" customWidth="1"/>
    <col min="9476" max="9476" width="33.90625" customWidth="1"/>
    <col min="9477" max="9477" width="26.7265625" customWidth="1"/>
    <col min="9478" max="9478" width="31.08984375" customWidth="1"/>
    <col min="9479" max="9479" width="21.54296875" customWidth="1"/>
    <col min="9480" max="9480" width="22.54296875" customWidth="1"/>
    <col min="9481" max="9482" width="15.6328125" customWidth="1"/>
    <col min="9483" max="9483" width="22.54296875" customWidth="1"/>
    <col min="9484" max="9484" width="12.54296875" customWidth="1"/>
    <col min="9485" max="9485" width="14.6328125" customWidth="1"/>
    <col min="9487" max="9487" width="27.7265625" customWidth="1"/>
    <col min="9488" max="9490" width="10.08984375" customWidth="1"/>
    <col min="9491" max="9491" width="9.08984375" customWidth="1"/>
    <col min="9732" max="9732" width="33.90625" customWidth="1"/>
    <col min="9733" max="9733" width="26.7265625" customWidth="1"/>
    <col min="9734" max="9734" width="31.08984375" customWidth="1"/>
    <col min="9735" max="9735" width="21.54296875" customWidth="1"/>
    <col min="9736" max="9736" width="22.54296875" customWidth="1"/>
    <col min="9737" max="9738" width="15.6328125" customWidth="1"/>
    <col min="9739" max="9739" width="22.54296875" customWidth="1"/>
    <col min="9740" max="9740" width="12.54296875" customWidth="1"/>
    <col min="9741" max="9741" width="14.6328125" customWidth="1"/>
    <col min="9743" max="9743" width="27.7265625" customWidth="1"/>
    <col min="9744" max="9746" width="10.08984375" customWidth="1"/>
    <col min="9747" max="9747" width="9.08984375" customWidth="1"/>
    <col min="9988" max="9988" width="33.90625" customWidth="1"/>
    <col min="9989" max="9989" width="26.7265625" customWidth="1"/>
    <col min="9990" max="9990" width="31.08984375" customWidth="1"/>
    <col min="9991" max="9991" width="21.54296875" customWidth="1"/>
    <col min="9992" max="9992" width="22.54296875" customWidth="1"/>
    <col min="9993" max="9994" width="15.6328125" customWidth="1"/>
    <col min="9995" max="9995" width="22.54296875" customWidth="1"/>
    <col min="9996" max="9996" width="12.54296875" customWidth="1"/>
    <col min="9997" max="9997" width="14.6328125" customWidth="1"/>
    <col min="9999" max="9999" width="27.7265625" customWidth="1"/>
    <col min="10000" max="10002" width="10.08984375" customWidth="1"/>
    <col min="10003" max="10003" width="9.08984375" customWidth="1"/>
    <col min="10244" max="10244" width="33.90625" customWidth="1"/>
    <col min="10245" max="10245" width="26.7265625" customWidth="1"/>
    <col min="10246" max="10246" width="31.08984375" customWidth="1"/>
    <col min="10247" max="10247" width="21.54296875" customWidth="1"/>
    <col min="10248" max="10248" width="22.54296875" customWidth="1"/>
    <col min="10249" max="10250" width="15.6328125" customWidth="1"/>
    <col min="10251" max="10251" width="22.54296875" customWidth="1"/>
    <col min="10252" max="10252" width="12.54296875" customWidth="1"/>
    <col min="10253" max="10253" width="14.6328125" customWidth="1"/>
    <col min="10255" max="10255" width="27.7265625" customWidth="1"/>
    <col min="10256" max="10258" width="10.08984375" customWidth="1"/>
    <col min="10259" max="10259" width="9.08984375" customWidth="1"/>
    <col min="10500" max="10500" width="33.90625" customWidth="1"/>
    <col min="10501" max="10501" width="26.7265625" customWidth="1"/>
    <col min="10502" max="10502" width="31.08984375" customWidth="1"/>
    <col min="10503" max="10503" width="21.54296875" customWidth="1"/>
    <col min="10504" max="10504" width="22.54296875" customWidth="1"/>
    <col min="10505" max="10506" width="15.6328125" customWidth="1"/>
    <col min="10507" max="10507" width="22.54296875" customWidth="1"/>
    <col min="10508" max="10508" width="12.54296875" customWidth="1"/>
    <col min="10509" max="10509" width="14.6328125" customWidth="1"/>
    <col min="10511" max="10511" width="27.7265625" customWidth="1"/>
    <col min="10512" max="10514" width="10.08984375" customWidth="1"/>
    <col min="10515" max="10515" width="9.08984375" customWidth="1"/>
    <col min="10756" max="10756" width="33.90625" customWidth="1"/>
    <col min="10757" max="10757" width="26.7265625" customWidth="1"/>
    <col min="10758" max="10758" width="31.08984375" customWidth="1"/>
    <col min="10759" max="10759" width="21.54296875" customWidth="1"/>
    <col min="10760" max="10760" width="22.54296875" customWidth="1"/>
    <col min="10761" max="10762" width="15.6328125" customWidth="1"/>
    <col min="10763" max="10763" width="22.54296875" customWidth="1"/>
    <col min="10764" max="10764" width="12.54296875" customWidth="1"/>
    <col min="10765" max="10765" width="14.6328125" customWidth="1"/>
    <col min="10767" max="10767" width="27.7265625" customWidth="1"/>
    <col min="10768" max="10770" width="10.08984375" customWidth="1"/>
    <col min="10771" max="10771" width="9.08984375" customWidth="1"/>
    <col min="11012" max="11012" width="33.90625" customWidth="1"/>
    <col min="11013" max="11013" width="26.7265625" customWidth="1"/>
    <col min="11014" max="11014" width="31.08984375" customWidth="1"/>
    <col min="11015" max="11015" width="21.54296875" customWidth="1"/>
    <col min="11016" max="11016" width="22.54296875" customWidth="1"/>
    <col min="11017" max="11018" width="15.6328125" customWidth="1"/>
    <col min="11019" max="11019" width="22.54296875" customWidth="1"/>
    <col min="11020" max="11020" width="12.54296875" customWidth="1"/>
    <col min="11021" max="11021" width="14.6328125" customWidth="1"/>
    <col min="11023" max="11023" width="27.7265625" customWidth="1"/>
    <col min="11024" max="11026" width="10.08984375" customWidth="1"/>
    <col min="11027" max="11027" width="9.08984375" customWidth="1"/>
    <col min="11268" max="11268" width="33.90625" customWidth="1"/>
    <col min="11269" max="11269" width="26.7265625" customWidth="1"/>
    <col min="11270" max="11270" width="31.08984375" customWidth="1"/>
    <col min="11271" max="11271" width="21.54296875" customWidth="1"/>
    <col min="11272" max="11272" width="22.54296875" customWidth="1"/>
    <col min="11273" max="11274" width="15.6328125" customWidth="1"/>
    <col min="11275" max="11275" width="22.54296875" customWidth="1"/>
    <col min="11276" max="11276" width="12.54296875" customWidth="1"/>
    <col min="11277" max="11277" width="14.6328125" customWidth="1"/>
    <col min="11279" max="11279" width="27.7265625" customWidth="1"/>
    <col min="11280" max="11282" width="10.08984375" customWidth="1"/>
    <col min="11283" max="11283" width="9.08984375" customWidth="1"/>
    <col min="11524" max="11524" width="33.90625" customWidth="1"/>
    <col min="11525" max="11525" width="26.7265625" customWidth="1"/>
    <col min="11526" max="11526" width="31.08984375" customWidth="1"/>
    <col min="11527" max="11527" width="21.54296875" customWidth="1"/>
    <col min="11528" max="11528" width="22.54296875" customWidth="1"/>
    <col min="11529" max="11530" width="15.6328125" customWidth="1"/>
    <col min="11531" max="11531" width="22.54296875" customWidth="1"/>
    <col min="11532" max="11532" width="12.54296875" customWidth="1"/>
    <col min="11533" max="11533" width="14.6328125" customWidth="1"/>
    <col min="11535" max="11535" width="27.7265625" customWidth="1"/>
    <col min="11536" max="11538" width="10.08984375" customWidth="1"/>
    <col min="11539" max="11539" width="9.08984375" customWidth="1"/>
    <col min="11780" max="11780" width="33.90625" customWidth="1"/>
    <col min="11781" max="11781" width="26.7265625" customWidth="1"/>
    <col min="11782" max="11782" width="31.08984375" customWidth="1"/>
    <col min="11783" max="11783" width="21.54296875" customWidth="1"/>
    <col min="11784" max="11784" width="22.54296875" customWidth="1"/>
    <col min="11785" max="11786" width="15.6328125" customWidth="1"/>
    <col min="11787" max="11787" width="22.54296875" customWidth="1"/>
    <col min="11788" max="11788" width="12.54296875" customWidth="1"/>
    <col min="11789" max="11789" width="14.6328125" customWidth="1"/>
    <col min="11791" max="11791" width="27.7265625" customWidth="1"/>
    <col min="11792" max="11794" width="10.08984375" customWidth="1"/>
    <col min="11795" max="11795" width="9.08984375" customWidth="1"/>
    <col min="12036" max="12036" width="33.90625" customWidth="1"/>
    <col min="12037" max="12037" width="26.7265625" customWidth="1"/>
    <col min="12038" max="12038" width="31.08984375" customWidth="1"/>
    <col min="12039" max="12039" width="21.54296875" customWidth="1"/>
    <col min="12040" max="12040" width="22.54296875" customWidth="1"/>
    <col min="12041" max="12042" width="15.6328125" customWidth="1"/>
    <col min="12043" max="12043" width="22.54296875" customWidth="1"/>
    <col min="12044" max="12044" width="12.54296875" customWidth="1"/>
    <col min="12045" max="12045" width="14.6328125" customWidth="1"/>
    <col min="12047" max="12047" width="27.7265625" customWidth="1"/>
    <col min="12048" max="12050" width="10.08984375" customWidth="1"/>
    <col min="12051" max="12051" width="9.08984375" customWidth="1"/>
    <col min="12292" max="12292" width="33.90625" customWidth="1"/>
    <col min="12293" max="12293" width="26.7265625" customWidth="1"/>
    <col min="12294" max="12294" width="31.08984375" customWidth="1"/>
    <col min="12295" max="12295" width="21.54296875" customWidth="1"/>
    <col min="12296" max="12296" width="22.54296875" customWidth="1"/>
    <col min="12297" max="12298" width="15.6328125" customWidth="1"/>
    <col min="12299" max="12299" width="22.54296875" customWidth="1"/>
    <col min="12300" max="12300" width="12.54296875" customWidth="1"/>
    <col min="12301" max="12301" width="14.6328125" customWidth="1"/>
    <col min="12303" max="12303" width="27.7265625" customWidth="1"/>
    <col min="12304" max="12306" width="10.08984375" customWidth="1"/>
    <col min="12307" max="12307" width="9.08984375" customWidth="1"/>
    <col min="12548" max="12548" width="33.90625" customWidth="1"/>
    <col min="12549" max="12549" width="26.7265625" customWidth="1"/>
    <col min="12550" max="12550" width="31.08984375" customWidth="1"/>
    <col min="12551" max="12551" width="21.54296875" customWidth="1"/>
    <col min="12552" max="12552" width="22.54296875" customWidth="1"/>
    <col min="12553" max="12554" width="15.6328125" customWidth="1"/>
    <col min="12555" max="12555" width="22.54296875" customWidth="1"/>
    <col min="12556" max="12556" width="12.54296875" customWidth="1"/>
    <col min="12557" max="12557" width="14.6328125" customWidth="1"/>
    <col min="12559" max="12559" width="27.7265625" customWidth="1"/>
    <col min="12560" max="12562" width="10.08984375" customWidth="1"/>
    <col min="12563" max="12563" width="9.08984375" customWidth="1"/>
    <col min="12804" max="12804" width="33.90625" customWidth="1"/>
    <col min="12805" max="12805" width="26.7265625" customWidth="1"/>
    <col min="12806" max="12806" width="31.08984375" customWidth="1"/>
    <col min="12807" max="12807" width="21.54296875" customWidth="1"/>
    <col min="12808" max="12808" width="22.54296875" customWidth="1"/>
    <col min="12809" max="12810" width="15.6328125" customWidth="1"/>
    <col min="12811" max="12811" width="22.54296875" customWidth="1"/>
    <col min="12812" max="12812" width="12.54296875" customWidth="1"/>
    <col min="12813" max="12813" width="14.6328125" customWidth="1"/>
    <col min="12815" max="12815" width="27.7265625" customWidth="1"/>
    <col min="12816" max="12818" width="10.08984375" customWidth="1"/>
    <col min="12819" max="12819" width="9.08984375" customWidth="1"/>
    <col min="13060" max="13060" width="33.90625" customWidth="1"/>
    <col min="13061" max="13061" width="26.7265625" customWidth="1"/>
    <col min="13062" max="13062" width="31.08984375" customWidth="1"/>
    <col min="13063" max="13063" width="21.54296875" customWidth="1"/>
    <col min="13064" max="13064" width="22.54296875" customWidth="1"/>
    <col min="13065" max="13066" width="15.6328125" customWidth="1"/>
    <col min="13067" max="13067" width="22.54296875" customWidth="1"/>
    <col min="13068" max="13068" width="12.54296875" customWidth="1"/>
    <col min="13069" max="13069" width="14.6328125" customWidth="1"/>
    <col min="13071" max="13071" width="27.7265625" customWidth="1"/>
    <col min="13072" max="13074" width="10.08984375" customWidth="1"/>
    <col min="13075" max="13075" width="9.08984375" customWidth="1"/>
    <col min="13316" max="13316" width="33.90625" customWidth="1"/>
    <col min="13317" max="13317" width="26.7265625" customWidth="1"/>
    <col min="13318" max="13318" width="31.08984375" customWidth="1"/>
    <col min="13319" max="13319" width="21.54296875" customWidth="1"/>
    <col min="13320" max="13320" width="22.54296875" customWidth="1"/>
    <col min="13321" max="13322" width="15.6328125" customWidth="1"/>
    <col min="13323" max="13323" width="22.54296875" customWidth="1"/>
    <col min="13324" max="13324" width="12.54296875" customWidth="1"/>
    <col min="13325" max="13325" width="14.6328125" customWidth="1"/>
    <col min="13327" max="13327" width="27.7265625" customWidth="1"/>
    <col min="13328" max="13330" width="10.08984375" customWidth="1"/>
    <col min="13331" max="13331" width="9.08984375" customWidth="1"/>
    <col min="13572" max="13572" width="33.90625" customWidth="1"/>
    <col min="13573" max="13573" width="26.7265625" customWidth="1"/>
    <col min="13574" max="13574" width="31.08984375" customWidth="1"/>
    <col min="13575" max="13575" width="21.54296875" customWidth="1"/>
    <col min="13576" max="13576" width="22.54296875" customWidth="1"/>
    <col min="13577" max="13578" width="15.6328125" customWidth="1"/>
    <col min="13579" max="13579" width="22.54296875" customWidth="1"/>
    <col min="13580" max="13580" width="12.54296875" customWidth="1"/>
    <col min="13581" max="13581" width="14.6328125" customWidth="1"/>
    <col min="13583" max="13583" width="27.7265625" customWidth="1"/>
    <col min="13584" max="13586" width="10.08984375" customWidth="1"/>
    <col min="13587" max="13587" width="9.08984375" customWidth="1"/>
    <col min="13828" max="13828" width="33.90625" customWidth="1"/>
    <col min="13829" max="13829" width="26.7265625" customWidth="1"/>
    <col min="13830" max="13830" width="31.08984375" customWidth="1"/>
    <col min="13831" max="13831" width="21.54296875" customWidth="1"/>
    <col min="13832" max="13832" width="22.54296875" customWidth="1"/>
    <col min="13833" max="13834" width="15.6328125" customWidth="1"/>
    <col min="13835" max="13835" width="22.54296875" customWidth="1"/>
    <col min="13836" max="13836" width="12.54296875" customWidth="1"/>
    <col min="13837" max="13837" width="14.6328125" customWidth="1"/>
    <col min="13839" max="13839" width="27.7265625" customWidth="1"/>
    <col min="13840" max="13842" width="10.08984375" customWidth="1"/>
    <col min="13843" max="13843" width="9.08984375" customWidth="1"/>
    <col min="14084" max="14084" width="33.90625" customWidth="1"/>
    <col min="14085" max="14085" width="26.7265625" customWidth="1"/>
    <col min="14086" max="14086" width="31.08984375" customWidth="1"/>
    <col min="14087" max="14087" width="21.54296875" customWidth="1"/>
    <col min="14088" max="14088" width="22.54296875" customWidth="1"/>
    <col min="14089" max="14090" width="15.6328125" customWidth="1"/>
    <col min="14091" max="14091" width="22.54296875" customWidth="1"/>
    <col min="14092" max="14092" width="12.54296875" customWidth="1"/>
    <col min="14093" max="14093" width="14.6328125" customWidth="1"/>
    <col min="14095" max="14095" width="27.7265625" customWidth="1"/>
    <col min="14096" max="14098" width="10.08984375" customWidth="1"/>
    <col min="14099" max="14099" width="9.08984375" customWidth="1"/>
    <col min="14340" max="14340" width="33.90625" customWidth="1"/>
    <col min="14341" max="14341" width="26.7265625" customWidth="1"/>
    <col min="14342" max="14342" width="31.08984375" customWidth="1"/>
    <col min="14343" max="14343" width="21.54296875" customWidth="1"/>
    <col min="14344" max="14344" width="22.54296875" customWidth="1"/>
    <col min="14345" max="14346" width="15.6328125" customWidth="1"/>
    <col min="14347" max="14347" width="22.54296875" customWidth="1"/>
    <col min="14348" max="14348" width="12.54296875" customWidth="1"/>
    <col min="14349" max="14349" width="14.6328125" customWidth="1"/>
    <col min="14351" max="14351" width="27.7265625" customWidth="1"/>
    <col min="14352" max="14354" width="10.08984375" customWidth="1"/>
    <col min="14355" max="14355" width="9.08984375" customWidth="1"/>
    <col min="14596" max="14596" width="33.90625" customWidth="1"/>
    <col min="14597" max="14597" width="26.7265625" customWidth="1"/>
    <col min="14598" max="14598" width="31.08984375" customWidth="1"/>
    <col min="14599" max="14599" width="21.54296875" customWidth="1"/>
    <col min="14600" max="14600" width="22.54296875" customWidth="1"/>
    <col min="14601" max="14602" width="15.6328125" customWidth="1"/>
    <col min="14603" max="14603" width="22.54296875" customWidth="1"/>
    <col min="14604" max="14604" width="12.54296875" customWidth="1"/>
    <col min="14605" max="14605" width="14.6328125" customWidth="1"/>
    <col min="14607" max="14607" width="27.7265625" customWidth="1"/>
    <col min="14608" max="14610" width="10.08984375" customWidth="1"/>
    <col min="14611" max="14611" width="9.08984375" customWidth="1"/>
    <col min="14852" max="14852" width="33.90625" customWidth="1"/>
    <col min="14853" max="14853" width="26.7265625" customWidth="1"/>
    <col min="14854" max="14854" width="31.08984375" customWidth="1"/>
    <col min="14855" max="14855" width="21.54296875" customWidth="1"/>
    <col min="14856" max="14856" width="22.54296875" customWidth="1"/>
    <col min="14857" max="14858" width="15.6328125" customWidth="1"/>
    <col min="14859" max="14859" width="22.54296875" customWidth="1"/>
    <col min="14860" max="14860" width="12.54296875" customWidth="1"/>
    <col min="14861" max="14861" width="14.6328125" customWidth="1"/>
    <col min="14863" max="14863" width="27.7265625" customWidth="1"/>
    <col min="14864" max="14866" width="10.08984375" customWidth="1"/>
    <col min="14867" max="14867" width="9.08984375" customWidth="1"/>
    <col min="15108" max="15108" width="33.90625" customWidth="1"/>
    <col min="15109" max="15109" width="26.7265625" customWidth="1"/>
    <col min="15110" max="15110" width="31.08984375" customWidth="1"/>
    <col min="15111" max="15111" width="21.54296875" customWidth="1"/>
    <col min="15112" max="15112" width="22.54296875" customWidth="1"/>
    <col min="15113" max="15114" width="15.6328125" customWidth="1"/>
    <col min="15115" max="15115" width="22.54296875" customWidth="1"/>
    <col min="15116" max="15116" width="12.54296875" customWidth="1"/>
    <col min="15117" max="15117" width="14.6328125" customWidth="1"/>
    <col min="15119" max="15119" width="27.7265625" customWidth="1"/>
    <col min="15120" max="15122" width="10.08984375" customWidth="1"/>
    <col min="15123" max="15123" width="9.08984375" customWidth="1"/>
    <col min="15364" max="15364" width="33.90625" customWidth="1"/>
    <col min="15365" max="15365" width="26.7265625" customWidth="1"/>
    <col min="15366" max="15366" width="31.08984375" customWidth="1"/>
    <col min="15367" max="15367" width="21.54296875" customWidth="1"/>
    <col min="15368" max="15368" width="22.54296875" customWidth="1"/>
    <col min="15369" max="15370" width="15.6328125" customWidth="1"/>
    <col min="15371" max="15371" width="22.54296875" customWidth="1"/>
    <col min="15372" max="15372" width="12.54296875" customWidth="1"/>
    <col min="15373" max="15373" width="14.6328125" customWidth="1"/>
    <col min="15375" max="15375" width="27.7265625" customWidth="1"/>
    <col min="15376" max="15378" width="10.08984375" customWidth="1"/>
    <col min="15379" max="15379" width="9.08984375" customWidth="1"/>
    <col min="15620" max="15620" width="33.90625" customWidth="1"/>
    <col min="15621" max="15621" width="26.7265625" customWidth="1"/>
    <col min="15622" max="15622" width="31.08984375" customWidth="1"/>
    <col min="15623" max="15623" width="21.54296875" customWidth="1"/>
    <col min="15624" max="15624" width="22.54296875" customWidth="1"/>
    <col min="15625" max="15626" width="15.6328125" customWidth="1"/>
    <col min="15627" max="15627" width="22.54296875" customWidth="1"/>
    <col min="15628" max="15628" width="12.54296875" customWidth="1"/>
    <col min="15629" max="15629" width="14.6328125" customWidth="1"/>
    <col min="15631" max="15631" width="27.7265625" customWidth="1"/>
    <col min="15632" max="15634" width="10.08984375" customWidth="1"/>
    <col min="15635" max="15635" width="9.08984375" customWidth="1"/>
    <col min="15876" max="15876" width="33.90625" customWidth="1"/>
    <col min="15877" max="15877" width="26.7265625" customWidth="1"/>
    <col min="15878" max="15878" width="31.08984375" customWidth="1"/>
    <col min="15879" max="15879" width="21.54296875" customWidth="1"/>
    <col min="15880" max="15880" width="22.54296875" customWidth="1"/>
    <col min="15881" max="15882" width="15.6328125" customWidth="1"/>
    <col min="15883" max="15883" width="22.54296875" customWidth="1"/>
    <col min="15884" max="15884" width="12.54296875" customWidth="1"/>
    <col min="15885" max="15885" width="14.6328125" customWidth="1"/>
    <col min="15887" max="15887" width="27.7265625" customWidth="1"/>
    <col min="15888" max="15890" width="10.08984375" customWidth="1"/>
    <col min="15891" max="15891" width="9.08984375" customWidth="1"/>
    <col min="16132" max="16132" width="33.90625" customWidth="1"/>
    <col min="16133" max="16133" width="26.7265625" customWidth="1"/>
    <col min="16134" max="16134" width="31.08984375" customWidth="1"/>
    <col min="16135" max="16135" width="21.54296875" customWidth="1"/>
    <col min="16136" max="16136" width="22.54296875" customWidth="1"/>
    <col min="16137" max="16138" width="15.6328125" customWidth="1"/>
    <col min="16139" max="16139" width="22.54296875" customWidth="1"/>
    <col min="16140" max="16140" width="12.54296875" customWidth="1"/>
    <col min="16141" max="16141" width="14.6328125" customWidth="1"/>
    <col min="16143" max="16143" width="27.7265625" customWidth="1"/>
    <col min="16144" max="16146" width="10.08984375" customWidth="1"/>
    <col min="16147" max="16147" width="9.08984375" customWidth="1"/>
  </cols>
  <sheetData>
    <row r="2" spans="1:22" ht="15" thickBot="1"/>
    <row r="3" spans="1:22" ht="16.5" thickTop="1" thickBot="1">
      <c r="B3" s="6"/>
      <c r="C3" s="60">
        <v>45748</v>
      </c>
      <c r="D3" s="60"/>
      <c r="E3" s="66" t="s">
        <v>0</v>
      </c>
      <c r="F3" s="68" t="s">
        <v>62</v>
      </c>
      <c r="G3" s="64" t="s">
        <v>1</v>
      </c>
      <c r="H3" s="65"/>
      <c r="I3" s="68" t="s">
        <v>63</v>
      </c>
      <c r="J3" s="50" t="s">
        <v>2</v>
      </c>
      <c r="K3" s="69" t="s">
        <v>67</v>
      </c>
      <c r="L3" s="6"/>
      <c r="M3" s="68" t="s">
        <v>64</v>
      </c>
      <c r="N3" s="18" t="s">
        <v>65</v>
      </c>
      <c r="O3" s="70" t="s">
        <v>66</v>
      </c>
      <c r="P3" s="18"/>
      <c r="Q3" s="6"/>
    </row>
    <row r="4" spans="1:22" s="49" customFormat="1" ht="16.5" thickTop="1" thickBot="1">
      <c r="A4" s="49" t="s">
        <v>48</v>
      </c>
      <c r="B4" s="42" t="s">
        <v>3</v>
      </c>
      <c r="C4" s="43" t="s">
        <v>49</v>
      </c>
      <c r="D4" s="43" t="s">
        <v>61</v>
      </c>
      <c r="E4" s="44" t="s">
        <v>4</v>
      </c>
      <c r="F4" s="42" t="s">
        <v>5</v>
      </c>
      <c r="G4" s="44" t="s">
        <v>6</v>
      </c>
      <c r="H4" s="44" t="s">
        <v>38</v>
      </c>
      <c r="I4" s="42" t="s">
        <v>7</v>
      </c>
      <c r="J4" s="45" t="s">
        <v>8</v>
      </c>
      <c r="K4" s="45" t="s">
        <v>9</v>
      </c>
      <c r="L4" s="42" t="s">
        <v>10</v>
      </c>
      <c r="M4" s="42" t="s">
        <v>45</v>
      </c>
      <c r="N4" s="42" t="s">
        <v>11</v>
      </c>
      <c r="O4" s="42" t="s">
        <v>12</v>
      </c>
      <c r="P4" s="42" t="s">
        <v>13</v>
      </c>
      <c r="Q4" s="42" t="s">
        <v>14</v>
      </c>
      <c r="R4" s="46" t="s">
        <v>15</v>
      </c>
      <c r="S4" s="47" t="s">
        <v>16</v>
      </c>
      <c r="T4" s="48" t="s">
        <v>17</v>
      </c>
      <c r="U4" s="48" t="s">
        <v>18</v>
      </c>
      <c r="V4" s="48" t="s">
        <v>19</v>
      </c>
    </row>
    <row r="5" spans="1:22" ht="15.5" thickTop="1" thickBot="1">
      <c r="B5" s="10"/>
      <c r="C5" s="8"/>
      <c r="D5" s="8"/>
      <c r="E5" s="6"/>
      <c r="F5" s="6"/>
      <c r="G5" s="9" t="s">
        <v>20</v>
      </c>
      <c r="H5" s="11" t="s">
        <v>21</v>
      </c>
      <c r="I5" s="6"/>
      <c r="J5" s="17"/>
      <c r="K5" s="17"/>
      <c r="L5" s="6"/>
      <c r="M5" s="41" t="s">
        <v>47</v>
      </c>
      <c r="N5" s="19"/>
      <c r="O5" s="6"/>
      <c r="P5" s="18"/>
      <c r="Q5" s="6"/>
    </row>
    <row r="6" spans="1:22" s="59" customFormat="1" ht="15.5" thickTop="1" thickBot="1">
      <c r="B6" s="55"/>
      <c r="C6" s="56" t="s">
        <v>25</v>
      </c>
      <c r="D6" s="56"/>
      <c r="E6" s="56" t="s">
        <v>25</v>
      </c>
      <c r="F6" s="56" t="s">
        <v>25</v>
      </c>
      <c r="G6" s="56" t="s">
        <v>25</v>
      </c>
      <c r="H6" s="56" t="s">
        <v>25</v>
      </c>
      <c r="I6" s="56" t="s">
        <v>25</v>
      </c>
      <c r="J6" s="56" t="s">
        <v>25</v>
      </c>
      <c r="K6" s="56" t="s">
        <v>25</v>
      </c>
      <c r="L6" s="56" t="s">
        <v>25</v>
      </c>
      <c r="M6" s="56" t="s">
        <v>25</v>
      </c>
      <c r="N6" s="56" t="s">
        <v>25</v>
      </c>
      <c r="O6" s="56" t="s">
        <v>25</v>
      </c>
      <c r="P6" s="57"/>
      <c r="Q6" s="58"/>
    </row>
    <row r="7" spans="1:22" ht="15.5" thickTop="1" thickBot="1">
      <c r="A7">
        <v>1</v>
      </c>
      <c r="B7" s="7" t="s">
        <v>50</v>
      </c>
      <c r="C7" s="8" t="e">
        <f>1.1*#REF!</f>
        <v>#REF!</v>
      </c>
      <c r="D7" s="8">
        <v>39930</v>
      </c>
      <c r="E7" s="12">
        <v>625</v>
      </c>
      <c r="F7" s="12">
        <f>D7+E7</f>
        <v>40555</v>
      </c>
      <c r="G7" s="12">
        <f>5.5%*D7</f>
        <v>2196.15</v>
      </c>
      <c r="H7" s="12">
        <f>7%*D7</f>
        <v>2795.1000000000004</v>
      </c>
      <c r="I7" s="12">
        <f>F7-(G7+H7)</f>
        <v>35563.75</v>
      </c>
      <c r="J7" s="8">
        <v>9272.7900000000009</v>
      </c>
      <c r="K7" s="8">
        <f>I7-J7</f>
        <v>26290.959999999999</v>
      </c>
      <c r="L7" s="7"/>
      <c r="M7" s="67">
        <f>K7-L7</f>
        <v>26290.959999999999</v>
      </c>
      <c r="N7" s="20">
        <f>24%*D7</f>
        <v>9583.1999999999989</v>
      </c>
      <c r="O7" s="12">
        <f>K7-L7+N7</f>
        <v>35874.159999999996</v>
      </c>
      <c r="P7" s="20">
        <f>R7-S7</f>
        <v>6532.8262499999946</v>
      </c>
      <c r="Q7" s="12">
        <f>O7+P7</f>
        <v>42406.986249999987</v>
      </c>
      <c r="R7" s="21">
        <f>O7</f>
        <v>35874.159999999996</v>
      </c>
      <c r="S7" s="4">
        <f>'[1]MARCH 2025'!$W$28</f>
        <v>29341.333750000002</v>
      </c>
      <c r="T7" s="24">
        <f>J7</f>
        <v>9272.7900000000009</v>
      </c>
      <c r="U7" s="4">
        <f>'[1]MARCH 2025'!$K$28</f>
        <v>7453.6662500000002</v>
      </c>
      <c r="V7" s="24">
        <f>T7-U7</f>
        <v>1819.1237500000007</v>
      </c>
    </row>
    <row r="8" spans="1:22" ht="15.5" thickTop="1" thickBot="1">
      <c r="B8" s="7"/>
      <c r="C8" s="8"/>
      <c r="D8" s="8"/>
      <c r="E8" s="12"/>
      <c r="F8" s="7"/>
      <c r="G8" s="7"/>
      <c r="H8" s="7"/>
      <c r="I8" s="12"/>
      <c r="J8" s="8"/>
      <c r="K8" s="8"/>
      <c r="L8" s="7"/>
      <c r="M8" s="12">
        <f t="shared" ref="M8:M31" si="0">K8-L8</f>
        <v>0</v>
      </c>
      <c r="N8" s="22"/>
      <c r="O8" s="12"/>
      <c r="P8" s="20"/>
      <c r="Q8" s="7"/>
      <c r="R8" s="21"/>
      <c r="S8" s="4"/>
      <c r="T8" s="24"/>
      <c r="U8" s="4"/>
      <c r="V8" s="24"/>
    </row>
    <row r="9" spans="1:22" ht="15.5" hidden="1" thickTop="1" thickBot="1">
      <c r="B9" s="7" t="s">
        <v>22</v>
      </c>
      <c r="C9" s="8" t="e">
        <f>1.1*#REF!</f>
        <v>#REF!</v>
      </c>
      <c r="D9" s="8"/>
      <c r="E9" s="12">
        <v>625</v>
      </c>
      <c r="F9" s="12" t="e">
        <f t="shared" ref="F9:F19" si="1">E9+C9</f>
        <v>#REF!</v>
      </c>
      <c r="G9" s="12" t="e">
        <f t="shared" ref="G9:G19" si="2">5.5%*C9</f>
        <v>#REF!</v>
      </c>
      <c r="H9" s="12" t="e">
        <f t="shared" ref="H9:H19" si="3">7%*C9</f>
        <v>#REF!</v>
      </c>
      <c r="I9" s="12" t="e">
        <f t="shared" ref="I9:I31" si="4">F9-(G9+H9)</f>
        <v>#REF!</v>
      </c>
      <c r="J9" s="8">
        <v>3262.89</v>
      </c>
      <c r="K9" s="8" t="e">
        <f t="shared" ref="K9:K31" si="5">I9-J9</f>
        <v>#REF!</v>
      </c>
      <c r="L9" s="7"/>
      <c r="M9" s="12"/>
      <c r="N9" s="20" t="e">
        <f t="shared" ref="N9" si="6">18%*C9</f>
        <v>#REF!</v>
      </c>
      <c r="O9" s="12" t="e">
        <f>K9-L9+N9</f>
        <v>#REF!</v>
      </c>
      <c r="P9" s="20" t="e">
        <f t="shared" ref="P9:P17" si="7">R9-S9</f>
        <v>#REF!</v>
      </c>
      <c r="Q9" s="12" t="e">
        <f t="shared" ref="Q9:Q31" si="8">O9+P9</f>
        <v>#REF!</v>
      </c>
      <c r="R9" s="21" t="e">
        <f t="shared" ref="R9:R17" si="9">O9</f>
        <v>#REF!</v>
      </c>
      <c r="S9" s="4">
        <f>'[1]MARCH 2025'!$W$29</f>
        <v>12437.181200000001</v>
      </c>
      <c r="T9" s="24">
        <f>J9</f>
        <v>3262.89</v>
      </c>
      <c r="U9" s="4">
        <f>'[1]MARCH 2025'!$K$29</f>
        <v>2943.9697500000002</v>
      </c>
      <c r="V9" s="24">
        <f>T9-U9</f>
        <v>318.92024999999967</v>
      </c>
    </row>
    <row r="10" spans="1:22" ht="15.5" thickTop="1" thickBot="1">
      <c r="B10" s="7"/>
      <c r="C10" s="8"/>
      <c r="D10" s="8"/>
      <c r="E10" s="12"/>
      <c r="F10" s="12"/>
      <c r="G10" s="12"/>
      <c r="H10" s="12"/>
      <c r="I10" s="12"/>
      <c r="J10" s="8"/>
      <c r="K10" s="8"/>
      <c r="L10" s="7"/>
      <c r="M10" s="12">
        <f t="shared" si="0"/>
        <v>0</v>
      </c>
      <c r="N10" s="20"/>
      <c r="O10" s="12"/>
      <c r="P10" s="20"/>
      <c r="Q10" s="12"/>
      <c r="R10" s="21"/>
      <c r="S10" s="4"/>
      <c r="T10" s="24"/>
      <c r="U10" s="4"/>
      <c r="V10" s="24"/>
    </row>
    <row r="11" spans="1:22" ht="15.5" thickTop="1" thickBot="1">
      <c r="A11">
        <v>2</v>
      </c>
      <c r="B11" s="7" t="s">
        <v>51</v>
      </c>
      <c r="C11" s="8" t="e">
        <f>1.1*#REF!</f>
        <v>#REF!</v>
      </c>
      <c r="D11" s="8">
        <v>8801.9</v>
      </c>
      <c r="E11" s="12">
        <f>5%*D11</f>
        <v>440.09500000000003</v>
      </c>
      <c r="F11" s="12">
        <f>D11+E11</f>
        <v>9241.994999999999</v>
      </c>
      <c r="G11" s="12">
        <f>5.5%*D11</f>
        <v>484.10449999999997</v>
      </c>
      <c r="H11" s="12">
        <f>7%*D11</f>
        <v>616.13300000000004</v>
      </c>
      <c r="I11" s="12">
        <f t="shared" si="4"/>
        <v>8141.7574999999988</v>
      </c>
      <c r="J11" s="8">
        <v>1633.94</v>
      </c>
      <c r="K11" s="8">
        <f t="shared" si="5"/>
        <v>6507.8174999999992</v>
      </c>
      <c r="L11" s="7"/>
      <c r="M11" s="12">
        <f t="shared" si="0"/>
        <v>6507.8174999999992</v>
      </c>
      <c r="N11" s="20">
        <f>18%*D11</f>
        <v>1584.3419999999999</v>
      </c>
      <c r="O11" s="12">
        <f>K11-L11+N11</f>
        <v>8092.1594999999988</v>
      </c>
      <c r="P11" s="20">
        <f t="shared" si="7"/>
        <v>1117.2390999999989</v>
      </c>
      <c r="Q11" s="12">
        <f t="shared" si="8"/>
        <v>9209.3985999999968</v>
      </c>
      <c r="R11" s="21">
        <f t="shared" si="9"/>
        <v>8092.1594999999988</v>
      </c>
      <c r="S11" s="4">
        <f>'[1]MARCH 2025'!$W$30</f>
        <v>6974.9204</v>
      </c>
      <c r="T11" s="24">
        <f>J11</f>
        <v>1633.94</v>
      </c>
      <c r="U11" s="4">
        <f>'[1]MARCH 2025'!$K$30</f>
        <v>1466.9047499999999</v>
      </c>
      <c r="V11" s="24">
        <f>T11-U11</f>
        <v>167.03525000000013</v>
      </c>
    </row>
    <row r="12" spans="1:22" ht="15.5" thickTop="1" thickBot="1">
      <c r="B12" s="7"/>
      <c r="C12" s="8"/>
      <c r="D12" s="8"/>
      <c r="E12" s="12"/>
      <c r="F12" s="12"/>
      <c r="G12" s="12"/>
      <c r="H12" s="12"/>
      <c r="I12" s="12"/>
      <c r="J12" s="8"/>
      <c r="K12" s="8"/>
      <c r="L12" s="7"/>
      <c r="M12" s="12">
        <f t="shared" si="0"/>
        <v>0</v>
      </c>
      <c r="N12" s="20"/>
      <c r="O12" s="12"/>
      <c r="P12" s="20"/>
      <c r="Q12" s="12"/>
      <c r="R12" s="21"/>
      <c r="S12" s="4"/>
      <c r="T12" s="24"/>
      <c r="U12" s="4"/>
      <c r="V12" s="24"/>
    </row>
    <row r="13" spans="1:22" ht="15.5" thickTop="1" thickBot="1">
      <c r="A13">
        <v>2</v>
      </c>
      <c r="B13" s="7" t="s">
        <v>52</v>
      </c>
      <c r="C13" s="8" t="e">
        <f>1.1*#REF!</f>
        <v>#REF!</v>
      </c>
      <c r="D13" s="8">
        <v>3390.42</v>
      </c>
      <c r="E13" s="12">
        <f>5%*D13</f>
        <v>169.52100000000002</v>
      </c>
      <c r="F13" s="12">
        <f>D13+E13</f>
        <v>3559.9410000000003</v>
      </c>
      <c r="G13" s="12">
        <f>5.5%*D13</f>
        <v>186.47310000000002</v>
      </c>
      <c r="H13" s="12">
        <f>7%*D13</f>
        <v>237.32940000000002</v>
      </c>
      <c r="I13" s="12">
        <f t="shared" si="4"/>
        <v>3136.1385</v>
      </c>
      <c r="J13" s="8">
        <v>439.57</v>
      </c>
      <c r="K13" s="8">
        <f t="shared" si="5"/>
        <v>2696.5684999999999</v>
      </c>
      <c r="L13" s="7">
        <v>500</v>
      </c>
      <c r="M13" s="12">
        <f t="shared" si="0"/>
        <v>2196.5684999999999</v>
      </c>
      <c r="N13" s="20">
        <f>18%*D13</f>
        <v>610.27559999999994</v>
      </c>
      <c r="O13" s="12">
        <f>K13-L13+N13</f>
        <v>2806.8440999999998</v>
      </c>
      <c r="P13" s="20">
        <f t="shared" si="7"/>
        <v>199.47451499999988</v>
      </c>
      <c r="Q13" s="12">
        <f t="shared" si="8"/>
        <v>3006.3186149999997</v>
      </c>
      <c r="R13" s="21">
        <f t="shared" si="9"/>
        <v>2806.8440999999998</v>
      </c>
      <c r="S13" s="4">
        <f>'[1]MARCH 2025'!$W$31</f>
        <v>2607.3695849999999</v>
      </c>
      <c r="T13" s="24">
        <f>J13</f>
        <v>439.57</v>
      </c>
      <c r="U13" s="4">
        <f>'[1]MARCH 2025'!$K$31</f>
        <v>348.73725000000002</v>
      </c>
      <c r="V13" s="24">
        <f>T13-U13</f>
        <v>90.832749999999976</v>
      </c>
    </row>
    <row r="14" spans="1:22" ht="15.5" thickTop="1" thickBot="1">
      <c r="B14" s="7"/>
      <c r="C14" s="8"/>
      <c r="D14" s="8"/>
      <c r="E14" s="12">
        <f>5%*D14</f>
        <v>0</v>
      </c>
      <c r="F14" s="12"/>
      <c r="G14" s="12"/>
      <c r="H14" s="12"/>
      <c r="I14" s="12"/>
      <c r="J14" s="8"/>
      <c r="K14" s="8"/>
      <c r="L14" s="7"/>
      <c r="M14" s="12">
        <f t="shared" si="0"/>
        <v>0</v>
      </c>
      <c r="N14" s="20"/>
      <c r="O14" s="12"/>
      <c r="P14" s="20"/>
      <c r="Q14" s="12"/>
      <c r="R14" s="21"/>
      <c r="S14" s="4"/>
      <c r="T14" s="24"/>
      <c r="U14" s="4"/>
      <c r="V14" s="24"/>
    </row>
    <row r="15" spans="1:22" ht="15.5" thickTop="1" thickBot="1">
      <c r="A15">
        <v>3</v>
      </c>
      <c r="B15" s="7" t="s">
        <v>53</v>
      </c>
      <c r="C15" s="8" t="e">
        <f>1.1*#REF!</f>
        <v>#REF!</v>
      </c>
      <c r="D15" s="8">
        <v>8966.89</v>
      </c>
      <c r="E15" s="12">
        <f>5%*D15</f>
        <v>448.34449999999998</v>
      </c>
      <c r="F15" s="12">
        <f>D15+E15</f>
        <v>9415.2344999999987</v>
      </c>
      <c r="G15" s="12">
        <f>5.5%*D15</f>
        <v>493.17894999999999</v>
      </c>
      <c r="H15" s="12">
        <f>7%*D15</f>
        <v>627.68230000000005</v>
      </c>
      <c r="I15" s="12">
        <f t="shared" si="4"/>
        <v>8294.3732499999987</v>
      </c>
      <c r="J15" s="8">
        <v>1672.09</v>
      </c>
      <c r="K15" s="8">
        <f t="shared" si="5"/>
        <v>6622.2832499999986</v>
      </c>
      <c r="L15" s="7"/>
      <c r="M15" s="12">
        <f t="shared" si="0"/>
        <v>6622.2832499999986</v>
      </c>
      <c r="N15" s="20">
        <f>18%*D15</f>
        <v>1614.0401999999999</v>
      </c>
      <c r="O15" s="12">
        <f>K15-L15+N15</f>
        <v>8236.323449999998</v>
      </c>
      <c r="P15" s="20">
        <f t="shared" si="7"/>
        <v>1589.670224999998</v>
      </c>
      <c r="Q15" s="12">
        <f t="shared" si="8"/>
        <v>9825.9936749999961</v>
      </c>
      <c r="R15" s="21">
        <f t="shared" si="9"/>
        <v>8236.323449999998</v>
      </c>
      <c r="S15" s="4">
        <f>'[1]MARCH 2025'!$W$32</f>
        <v>6646.653225</v>
      </c>
      <c r="T15" s="24">
        <f>J15</f>
        <v>1672.09</v>
      </c>
      <c r="U15" s="4">
        <f>'[1]MARCH 2025'!$K$32</f>
        <v>1171.57725</v>
      </c>
      <c r="V15" s="24">
        <f>T15-U15</f>
        <v>500.51274999999987</v>
      </c>
    </row>
    <row r="16" spans="1:22" ht="15.5" thickTop="1" thickBot="1">
      <c r="B16" s="7"/>
      <c r="C16" s="8"/>
      <c r="D16" s="8"/>
      <c r="E16" s="12"/>
      <c r="F16" s="12"/>
      <c r="G16" s="12"/>
      <c r="H16" s="12"/>
      <c r="I16" s="12"/>
      <c r="J16" s="8"/>
      <c r="K16" s="8"/>
      <c r="L16" s="7"/>
      <c r="M16" s="12">
        <f t="shared" si="0"/>
        <v>0</v>
      </c>
      <c r="N16" s="20"/>
      <c r="O16" s="12"/>
      <c r="P16" s="20"/>
      <c r="Q16" s="12"/>
      <c r="R16" s="21"/>
      <c r="S16" s="4"/>
      <c r="T16" s="24"/>
      <c r="U16" s="4"/>
      <c r="V16" s="24"/>
    </row>
    <row r="17" spans="1:22" ht="15.5" thickTop="1" thickBot="1">
      <c r="A17">
        <v>4</v>
      </c>
      <c r="B17" s="7" t="s">
        <v>54</v>
      </c>
      <c r="C17" s="8" t="e">
        <f>1.1*#REF!</f>
        <v>#REF!</v>
      </c>
      <c r="D17" s="8">
        <v>11761.12</v>
      </c>
      <c r="E17" s="12">
        <f>5%*D17</f>
        <v>588.05600000000004</v>
      </c>
      <c r="F17" s="12">
        <f>D17+E17</f>
        <v>12349.176000000001</v>
      </c>
      <c r="G17" s="12">
        <f>5.5%*D17</f>
        <v>646.86160000000007</v>
      </c>
      <c r="H17" s="12">
        <f>7%*D17</f>
        <v>823.27840000000015</v>
      </c>
      <c r="I17" s="12">
        <f t="shared" si="4"/>
        <v>10879.036</v>
      </c>
      <c r="J17" s="8">
        <v>2318.2600000000002</v>
      </c>
      <c r="K17" s="8">
        <f t="shared" si="5"/>
        <v>8560.7759999999998</v>
      </c>
      <c r="L17" s="7">
        <v>1250</v>
      </c>
      <c r="M17" s="12">
        <f t="shared" si="0"/>
        <v>7310.7759999999998</v>
      </c>
      <c r="N17" s="20">
        <f>18%*D17</f>
        <v>2117.0016000000001</v>
      </c>
      <c r="O17" s="12">
        <f>K17-L17+N17</f>
        <v>9427.7775999999994</v>
      </c>
      <c r="P17" s="20">
        <f t="shared" si="7"/>
        <v>1041.3536999999997</v>
      </c>
      <c r="Q17" s="12">
        <f t="shared" si="8"/>
        <v>10469.131299999999</v>
      </c>
      <c r="R17" s="21">
        <f t="shared" si="9"/>
        <v>9427.7775999999994</v>
      </c>
      <c r="S17" s="4">
        <f>'[1]MARCH 2025'!$W$33</f>
        <v>8386.4238999999998</v>
      </c>
      <c r="T17" s="24">
        <f>J17</f>
        <v>2318.2600000000002</v>
      </c>
      <c r="U17" s="4">
        <f>'[1]MARCH 2025'!$K$33</f>
        <v>1868.1022499999999</v>
      </c>
      <c r="V17" s="24">
        <f>T17-U17</f>
        <v>450.15775000000031</v>
      </c>
    </row>
    <row r="18" spans="1:22" ht="15.5" thickTop="1" thickBot="1">
      <c r="B18" s="7"/>
      <c r="C18" s="8"/>
      <c r="D18" s="8"/>
      <c r="E18" s="12"/>
      <c r="F18" s="12"/>
      <c r="G18" s="12"/>
      <c r="H18" s="12"/>
      <c r="I18" s="12"/>
      <c r="J18" s="8"/>
      <c r="K18" s="8"/>
      <c r="L18" s="7"/>
      <c r="M18" s="12">
        <f t="shared" si="0"/>
        <v>0</v>
      </c>
      <c r="N18" s="20"/>
      <c r="O18" s="12"/>
      <c r="P18" s="20"/>
      <c r="Q18" s="12"/>
      <c r="R18" s="21"/>
      <c r="S18" s="4"/>
      <c r="T18" s="24"/>
      <c r="U18" s="4"/>
      <c r="V18" s="24"/>
    </row>
    <row r="19" spans="1:22" s="1" customFormat="1" ht="15.5" hidden="1" thickTop="1" thickBot="1">
      <c r="B19" s="13" t="s">
        <v>23</v>
      </c>
      <c r="C19" s="15">
        <v>10327.17</v>
      </c>
      <c r="D19" s="15"/>
      <c r="E19" s="16"/>
      <c r="F19" s="16">
        <f t="shared" si="1"/>
        <v>10327.17</v>
      </c>
      <c r="G19" s="16">
        <f t="shared" si="2"/>
        <v>567.99435000000005</v>
      </c>
      <c r="H19" s="16">
        <f t="shared" si="3"/>
        <v>722.90190000000007</v>
      </c>
      <c r="I19" s="16">
        <f t="shared" si="4"/>
        <v>9036.2737500000003</v>
      </c>
      <c r="J19" s="14"/>
      <c r="K19" s="8">
        <f t="shared" si="5"/>
        <v>9036.2737500000003</v>
      </c>
      <c r="L19" s="13"/>
      <c r="M19" s="12"/>
      <c r="N19" s="20"/>
      <c r="O19" s="12">
        <f>K19-L19+N19</f>
        <v>9036.2737500000003</v>
      </c>
      <c r="P19" s="20">
        <f>R19-S19</f>
        <v>5246.1751249999998</v>
      </c>
      <c r="Q19" s="16">
        <f t="shared" si="8"/>
        <v>14282.448875</v>
      </c>
      <c r="R19" s="23">
        <f>O19</f>
        <v>9036.2737500000003</v>
      </c>
      <c r="S19" s="25">
        <f>'[1]MARCH 2025'!$W$34</f>
        <v>3790.0986250000001</v>
      </c>
      <c r="T19" s="24">
        <f>J19</f>
        <v>0</v>
      </c>
      <c r="U19" s="25">
        <f>'[1]MARCH 2025'!$K$34</f>
        <v>728.04</v>
      </c>
      <c r="V19" s="24">
        <f>T19-U19</f>
        <v>-728.04</v>
      </c>
    </row>
    <row r="20" spans="1:22" ht="15.5" thickTop="1" thickBot="1">
      <c r="B20" s="7"/>
      <c r="C20" s="8"/>
      <c r="D20" s="8"/>
      <c r="E20" s="12"/>
      <c r="F20" s="12"/>
      <c r="G20" s="12"/>
      <c r="H20" s="12"/>
      <c r="I20" s="12"/>
      <c r="J20" s="8"/>
      <c r="K20" s="8"/>
      <c r="L20" s="7"/>
      <c r="M20" s="12">
        <f t="shared" si="0"/>
        <v>0</v>
      </c>
      <c r="N20" s="20"/>
      <c r="O20" s="12"/>
      <c r="P20" s="20"/>
      <c r="Q20" s="12"/>
      <c r="R20" s="21"/>
      <c r="S20" s="4"/>
      <c r="T20" s="24"/>
      <c r="U20" s="4"/>
      <c r="V20" s="24"/>
    </row>
    <row r="21" spans="1:22" ht="15.5" thickTop="1" thickBot="1">
      <c r="A21">
        <v>5</v>
      </c>
      <c r="B21" s="7" t="s">
        <v>55</v>
      </c>
      <c r="C21" s="8">
        <v>6200</v>
      </c>
      <c r="D21" s="8">
        <v>6820</v>
      </c>
      <c r="E21" s="12">
        <f>5%*D21</f>
        <v>341</v>
      </c>
      <c r="F21" s="12">
        <f>D21+E21</f>
        <v>7161</v>
      </c>
      <c r="G21" s="12">
        <f>5.5%*D21</f>
        <v>375.1</v>
      </c>
      <c r="H21" s="12">
        <f>7%*D21</f>
        <v>477.40000000000003</v>
      </c>
      <c r="I21" s="12">
        <f t="shared" si="4"/>
        <v>6308.5</v>
      </c>
      <c r="J21" s="8">
        <v>1175.6199999999999</v>
      </c>
      <c r="K21" s="8">
        <f t="shared" si="5"/>
        <v>5132.88</v>
      </c>
      <c r="L21" s="7">
        <v>233.33</v>
      </c>
      <c r="M21" s="12">
        <f t="shared" si="0"/>
        <v>4899.55</v>
      </c>
      <c r="N21" s="20">
        <f>18%*D21</f>
        <v>1227.5999999999999</v>
      </c>
      <c r="O21" s="12">
        <f>K21-L21+N21</f>
        <v>6127.15</v>
      </c>
      <c r="P21" s="20">
        <f>R21-S21</f>
        <v>2123.8720399999997</v>
      </c>
      <c r="Q21" s="12">
        <f t="shared" si="8"/>
        <v>8251.0220399999998</v>
      </c>
      <c r="R21" s="21">
        <f>O21</f>
        <v>6127.15</v>
      </c>
      <c r="S21" s="4">
        <f>'[1]MARCH 2025'!$W$35</f>
        <v>4003.2779599999999</v>
      </c>
      <c r="T21" s="24">
        <f>J21</f>
        <v>1175.6199999999999</v>
      </c>
      <c r="U21" s="4">
        <f>'[1]MARCH 2025'!$K$35</f>
        <v>688.57725000000005</v>
      </c>
      <c r="V21" s="24">
        <f>T21-U21</f>
        <v>487.04274999999984</v>
      </c>
    </row>
    <row r="22" spans="1:22" ht="15.5" thickTop="1" thickBot="1">
      <c r="B22" s="7"/>
      <c r="C22" s="8"/>
      <c r="D22" s="8"/>
      <c r="E22" s="12"/>
      <c r="F22" s="12"/>
      <c r="G22" s="12"/>
      <c r="H22" s="12"/>
      <c r="I22" s="12"/>
      <c r="J22" s="8"/>
      <c r="K22" s="8"/>
      <c r="L22" s="7"/>
      <c r="M22" s="12">
        <f t="shared" si="0"/>
        <v>0</v>
      </c>
      <c r="N22" s="20"/>
      <c r="O22" s="12"/>
      <c r="P22" s="20"/>
      <c r="Q22" s="12"/>
      <c r="R22" s="21"/>
      <c r="S22" s="4"/>
      <c r="T22" s="24"/>
      <c r="U22" s="4"/>
      <c r="V22" s="24"/>
    </row>
    <row r="23" spans="1:22" ht="15.5" thickTop="1" thickBot="1">
      <c r="A23">
        <v>6</v>
      </c>
      <c r="B23" s="7" t="s">
        <v>56</v>
      </c>
      <c r="C23" s="8" t="e">
        <f>1.1*#REF!</f>
        <v>#REF!</v>
      </c>
      <c r="D23" s="8">
        <v>14077.32</v>
      </c>
      <c r="E23" s="12">
        <v>625</v>
      </c>
      <c r="F23" s="12">
        <f>D23+E23</f>
        <v>14702.32</v>
      </c>
      <c r="G23" s="12">
        <f>5.5%*D23</f>
        <v>774.25260000000003</v>
      </c>
      <c r="H23" s="12">
        <f>7%*D23</f>
        <v>985.41240000000005</v>
      </c>
      <c r="I23" s="12">
        <f t="shared" si="4"/>
        <v>12942.654999999999</v>
      </c>
      <c r="J23" s="8">
        <v>2834.16</v>
      </c>
      <c r="K23" s="8">
        <f t="shared" si="5"/>
        <v>10108.494999999999</v>
      </c>
      <c r="L23" s="7"/>
      <c r="M23" s="12">
        <f t="shared" si="0"/>
        <v>10108.494999999999</v>
      </c>
      <c r="N23" s="20">
        <f>18%*D23</f>
        <v>2533.9175999999998</v>
      </c>
      <c r="O23" s="12">
        <f>K23-L23+N23</f>
        <v>12642.4126</v>
      </c>
      <c r="P23" s="20">
        <f>R23-S23</f>
        <v>2668.1041000000005</v>
      </c>
      <c r="Q23" s="12">
        <f t="shared" si="8"/>
        <v>15310.5167</v>
      </c>
      <c r="R23" s="21">
        <f>O23</f>
        <v>12642.4126</v>
      </c>
      <c r="S23" s="4">
        <f>'[1]MARCH 2025'!$W$36</f>
        <v>9974.3084999999992</v>
      </c>
      <c r="T23" s="24">
        <f>J23</f>
        <v>2834.16</v>
      </c>
      <c r="U23" s="4">
        <f>'[1]MARCH 2025'!$K$36</f>
        <v>2299.7197500000002</v>
      </c>
      <c r="V23" s="24">
        <f>T23-U23</f>
        <v>534.44024999999965</v>
      </c>
    </row>
    <row r="24" spans="1:22" ht="15.5" thickTop="1" thickBot="1">
      <c r="B24" s="7"/>
      <c r="C24" s="8"/>
      <c r="D24" s="8"/>
      <c r="E24" s="12"/>
      <c r="F24" s="12"/>
      <c r="G24" s="12"/>
      <c r="H24" s="12"/>
      <c r="I24" s="12"/>
      <c r="J24" s="8"/>
      <c r="K24" s="8"/>
      <c r="L24" s="7"/>
      <c r="M24" s="12">
        <f t="shared" si="0"/>
        <v>0</v>
      </c>
      <c r="N24" s="20"/>
      <c r="O24" s="12"/>
      <c r="P24" s="20"/>
      <c r="Q24" s="12"/>
      <c r="R24" s="21"/>
      <c r="S24" s="4"/>
      <c r="T24" s="24"/>
      <c r="U24" s="4"/>
      <c r="V24" s="24"/>
    </row>
    <row r="25" spans="1:22" ht="15.5" thickTop="1" thickBot="1">
      <c r="A25">
        <v>7</v>
      </c>
      <c r="B25" s="7" t="s">
        <v>57</v>
      </c>
      <c r="C25" s="8" t="e">
        <f>1.1*#REF!</f>
        <v>#REF!</v>
      </c>
      <c r="D25" s="8">
        <v>8201.89</v>
      </c>
      <c r="E25" s="12">
        <f>5%*D25</f>
        <v>410.09449999999998</v>
      </c>
      <c r="F25" s="12">
        <f>D25+E25</f>
        <v>8611.9844999999987</v>
      </c>
      <c r="G25" s="12">
        <f>5.5%*D25</f>
        <v>451.10395</v>
      </c>
      <c r="H25" s="12">
        <f>7%*D25</f>
        <v>574.13229999999999</v>
      </c>
      <c r="I25" s="12">
        <f t="shared" si="4"/>
        <v>7586.7482499999987</v>
      </c>
      <c r="J25" s="8">
        <v>1495.19</v>
      </c>
      <c r="K25" s="8">
        <f t="shared" si="5"/>
        <v>6091.5582499999982</v>
      </c>
      <c r="L25" s="7"/>
      <c r="M25" s="12">
        <f t="shared" si="0"/>
        <v>6091.5582499999982</v>
      </c>
      <c r="N25" s="20">
        <f>18%*D25</f>
        <v>1476.3401999999999</v>
      </c>
      <c r="O25" s="12">
        <f>K25-L25+N25</f>
        <v>7567.8984499999979</v>
      </c>
      <c r="P25" s="20">
        <f>R25-S25</f>
        <v>1597.9250999999977</v>
      </c>
      <c r="Q25" s="12">
        <f t="shared" si="8"/>
        <v>9165.8235499999955</v>
      </c>
      <c r="R25" s="21">
        <f>O25</f>
        <v>7567.8984499999979</v>
      </c>
      <c r="S25" s="4">
        <f>'[1]MARCH 2025'!$W$37</f>
        <v>5969.9733500000002</v>
      </c>
      <c r="T25" s="24">
        <f>J25</f>
        <v>1495.19</v>
      </c>
      <c r="U25" s="4">
        <f>'[1]MARCH 2025'!$K$37</f>
        <v>1181.2597499999999</v>
      </c>
      <c r="V25" s="24">
        <f>T25-U25</f>
        <v>313.93025000000011</v>
      </c>
    </row>
    <row r="26" spans="1:22" ht="15.5" thickTop="1" thickBot="1">
      <c r="B26" s="7"/>
      <c r="C26" s="8"/>
      <c r="D26" s="8"/>
      <c r="E26" s="12"/>
      <c r="F26" s="12"/>
      <c r="G26" s="12"/>
      <c r="H26" s="12"/>
      <c r="I26" s="12"/>
      <c r="J26" s="8"/>
      <c r="K26" s="8"/>
      <c r="L26" s="7"/>
      <c r="M26" s="12">
        <f t="shared" si="0"/>
        <v>0</v>
      </c>
      <c r="N26" s="20"/>
      <c r="O26" s="12"/>
      <c r="P26" s="20"/>
      <c r="Q26" s="12"/>
      <c r="R26" s="21"/>
      <c r="S26" s="4"/>
      <c r="T26" s="24"/>
      <c r="U26" s="4"/>
      <c r="V26" s="24"/>
    </row>
    <row r="27" spans="1:22" ht="15.5" thickTop="1" thickBot="1">
      <c r="A27">
        <v>8</v>
      </c>
      <c r="B27" s="7" t="s">
        <v>58</v>
      </c>
      <c r="C27" s="8" t="e">
        <f>1.1*#REF!</f>
        <v>#REF!</v>
      </c>
      <c r="D27" s="8">
        <v>4446.47</v>
      </c>
      <c r="E27" s="12">
        <f>5%*D27</f>
        <v>222.32350000000002</v>
      </c>
      <c r="F27" s="12">
        <f>D27+E27</f>
        <v>4668.7935000000007</v>
      </c>
      <c r="G27" s="12">
        <f>5.5%*D27</f>
        <v>244.55585000000002</v>
      </c>
      <c r="H27" s="12">
        <f>7%*D27</f>
        <v>311.25290000000007</v>
      </c>
      <c r="I27" s="12">
        <f t="shared" si="4"/>
        <v>4112.9847500000005</v>
      </c>
      <c r="J27" s="8">
        <v>626.75</v>
      </c>
      <c r="K27" s="8">
        <f t="shared" si="5"/>
        <v>3486.2347500000005</v>
      </c>
      <c r="L27" s="7"/>
      <c r="M27" s="12">
        <f t="shared" si="0"/>
        <v>3486.2347500000005</v>
      </c>
      <c r="N27" s="20">
        <f>18%*D27</f>
        <v>800.3646</v>
      </c>
      <c r="O27" s="12">
        <f>K27-L27+N27</f>
        <v>4286.5993500000004</v>
      </c>
      <c r="P27" s="20">
        <f>R27-S27</f>
        <v>901.10900000000038</v>
      </c>
      <c r="Q27" s="12">
        <f t="shared" si="8"/>
        <v>5187.7083500000008</v>
      </c>
      <c r="R27" s="21">
        <f>O27</f>
        <v>4286.5993500000004</v>
      </c>
      <c r="S27" s="4">
        <f>'[1]MARCH 2025'!$W$38</f>
        <v>3385.49035</v>
      </c>
      <c r="T27" s="24">
        <f>J27</f>
        <v>626.75</v>
      </c>
      <c r="U27" s="4">
        <f>'[1]MARCH 2025'!$K$38</f>
        <v>491.392</v>
      </c>
      <c r="V27" s="24">
        <f>T27-U27</f>
        <v>135.358</v>
      </c>
    </row>
    <row r="28" spans="1:22" ht="15.5" thickTop="1" thickBot="1">
      <c r="B28" s="7"/>
      <c r="C28" s="8"/>
      <c r="D28" s="8"/>
      <c r="E28" s="12"/>
      <c r="F28" s="12"/>
      <c r="G28" s="12"/>
      <c r="H28" s="12"/>
      <c r="I28" s="12"/>
      <c r="J28" s="8"/>
      <c r="K28" s="8"/>
      <c r="L28" s="7"/>
      <c r="M28" s="12">
        <f t="shared" si="0"/>
        <v>0</v>
      </c>
      <c r="N28" s="20"/>
      <c r="O28" s="12"/>
      <c r="P28" s="20"/>
      <c r="Q28" s="12"/>
      <c r="R28" s="21"/>
      <c r="S28" s="4"/>
      <c r="T28" s="24"/>
      <c r="U28" s="4"/>
      <c r="V28" s="24"/>
    </row>
    <row r="29" spans="1:22" ht="15.5" thickTop="1" thickBot="1">
      <c r="A29">
        <v>9</v>
      </c>
      <c r="B29" s="7" t="s">
        <v>59</v>
      </c>
      <c r="C29" s="8">
        <v>3200</v>
      </c>
      <c r="D29" s="8">
        <v>3520</v>
      </c>
      <c r="E29" s="12">
        <f>5%*D29</f>
        <v>176</v>
      </c>
      <c r="F29" s="12">
        <f>D29+E29</f>
        <v>3696</v>
      </c>
      <c r="G29" s="12">
        <f>5.5%*D29</f>
        <v>193.6</v>
      </c>
      <c r="H29" s="12">
        <f>7%*D29</f>
        <v>246.40000000000003</v>
      </c>
      <c r="I29" s="12">
        <f t="shared" si="4"/>
        <v>3256</v>
      </c>
      <c r="J29" s="8">
        <v>460.55</v>
      </c>
      <c r="K29" s="8">
        <f t="shared" si="5"/>
        <v>2795.45</v>
      </c>
      <c r="L29" s="7">
        <v>437.5</v>
      </c>
      <c r="M29" s="12">
        <f t="shared" si="0"/>
        <v>2357.9499999999998</v>
      </c>
      <c r="N29" s="20">
        <f>18%*D29</f>
        <v>633.6</v>
      </c>
      <c r="O29" s="12">
        <f>K29-L29+N29</f>
        <v>2991.5499999999997</v>
      </c>
      <c r="P29" s="20">
        <f>R29-S29</f>
        <v>1492.3547999999996</v>
      </c>
      <c r="Q29" s="12">
        <f t="shared" si="8"/>
        <v>4483.9047999999993</v>
      </c>
      <c r="R29" s="21">
        <f>O29</f>
        <v>2991.5499999999997</v>
      </c>
      <c r="S29" s="4">
        <f>'[1]MARCH 2025'!$W$39</f>
        <v>1499.1952000000001</v>
      </c>
      <c r="T29" s="24">
        <f>J29</f>
        <v>460.55</v>
      </c>
      <c r="U29" s="4">
        <f>'[1]MARCH 2025'!$K$39</f>
        <v>225.78049999999999</v>
      </c>
      <c r="V29" s="24">
        <f>T29-U29</f>
        <v>234.76950000000002</v>
      </c>
    </row>
    <row r="30" spans="1:22" ht="15.5" thickTop="1" thickBot="1">
      <c r="B30" s="7"/>
      <c r="C30" s="8"/>
      <c r="D30" s="8"/>
      <c r="E30" s="12">
        <f>5%*D30</f>
        <v>0</v>
      </c>
      <c r="F30" s="12"/>
      <c r="G30" s="12"/>
      <c r="H30" s="12"/>
      <c r="I30" s="12"/>
      <c r="J30" s="8"/>
      <c r="K30" s="8"/>
      <c r="L30" s="7"/>
      <c r="M30" s="12">
        <f t="shared" si="0"/>
        <v>0</v>
      </c>
      <c r="N30" s="20"/>
      <c r="O30" s="12"/>
      <c r="P30" s="20"/>
      <c r="Q30" s="12"/>
      <c r="R30" s="21"/>
      <c r="S30" s="4"/>
      <c r="T30" s="24"/>
      <c r="U30" s="4"/>
      <c r="V30" s="24"/>
    </row>
    <row r="31" spans="1:22" ht="15.5" thickTop="1" thickBot="1">
      <c r="A31">
        <v>10</v>
      </c>
      <c r="B31" s="7" t="s">
        <v>60</v>
      </c>
      <c r="C31" s="8" t="e">
        <f>1.1*#REF!</f>
        <v>#REF!</v>
      </c>
      <c r="D31" s="8">
        <v>3660.25</v>
      </c>
      <c r="E31" s="12">
        <f>5%*D31</f>
        <v>183.01250000000002</v>
      </c>
      <c r="F31" s="12">
        <f>D31+E31</f>
        <v>3843.2624999999998</v>
      </c>
      <c r="G31" s="12">
        <f>5.5%*D31</f>
        <v>201.31375</v>
      </c>
      <c r="H31" s="12">
        <f>7%*D31</f>
        <v>256.21750000000003</v>
      </c>
      <c r="I31" s="12">
        <f t="shared" si="4"/>
        <v>3385.7312499999998</v>
      </c>
      <c r="J31" s="8">
        <v>483.25</v>
      </c>
      <c r="K31" s="8">
        <f t="shared" si="5"/>
        <v>2902.4812499999998</v>
      </c>
      <c r="L31" s="7"/>
      <c r="M31" s="12">
        <f t="shared" si="0"/>
        <v>2902.4812499999998</v>
      </c>
      <c r="N31" s="20">
        <f>18%*D31</f>
        <v>658.84500000000003</v>
      </c>
      <c r="O31" s="12">
        <f>K31-L31+N31</f>
        <v>3561.3262500000001</v>
      </c>
      <c r="P31" s="20">
        <f>R31-S31</f>
        <v>755.13750000000027</v>
      </c>
      <c r="Q31" s="12">
        <f t="shared" si="8"/>
        <v>4316.4637500000008</v>
      </c>
      <c r="R31" s="21">
        <f>O31</f>
        <v>3561.3262500000001</v>
      </c>
      <c r="S31" s="4">
        <f>'[1]MARCH 2025'!$W$40</f>
        <v>2806.1887499999998</v>
      </c>
      <c r="T31" s="24">
        <f>J31</f>
        <v>483.25</v>
      </c>
      <c r="U31" s="4">
        <f>'[1]MARCH 2025'!$K$40</f>
        <v>385.18624999999997</v>
      </c>
      <c r="V31" s="24">
        <f>T31-U31</f>
        <v>98.063750000000027</v>
      </c>
    </row>
    <row r="32" spans="1:22" ht="15.5" thickTop="1" thickBot="1">
      <c r="B32" s="7"/>
      <c r="C32" s="8"/>
      <c r="D32" s="8"/>
      <c r="E32" s="12"/>
      <c r="F32" s="12"/>
      <c r="G32" s="12"/>
      <c r="H32" s="12"/>
      <c r="I32" s="12"/>
      <c r="J32" s="8"/>
      <c r="K32" s="8"/>
      <c r="L32" s="7"/>
      <c r="M32" s="12"/>
      <c r="N32" s="20"/>
      <c r="O32" s="12"/>
      <c r="P32" s="20"/>
      <c r="Q32" s="12"/>
      <c r="R32" s="21"/>
      <c r="S32" s="4"/>
      <c r="T32" s="24"/>
      <c r="U32" s="4"/>
      <c r="V32" s="24"/>
    </row>
    <row r="33" spans="2:22" ht="15" thickTop="1">
      <c r="B33" s="2"/>
      <c r="C33" s="61"/>
      <c r="D33" s="61"/>
      <c r="E33" s="21"/>
      <c r="F33" s="21"/>
      <c r="G33" s="21"/>
      <c r="H33" s="21"/>
      <c r="I33" s="21"/>
      <c r="J33" s="61"/>
      <c r="K33" s="61"/>
      <c r="L33" s="2"/>
      <c r="M33" s="21"/>
      <c r="N33" s="62"/>
      <c r="O33" s="21"/>
      <c r="P33" s="62"/>
      <c r="Q33" s="21"/>
      <c r="R33" s="21"/>
      <c r="S33" s="4"/>
      <c r="T33" s="24"/>
      <c r="U33" s="4"/>
      <c r="V33" s="24"/>
    </row>
    <row r="34" spans="2:22">
      <c r="B34" s="2"/>
      <c r="C34" s="61"/>
      <c r="D34" s="61"/>
      <c r="E34" s="21"/>
      <c r="F34" s="21"/>
      <c r="G34" s="21"/>
      <c r="H34" s="21"/>
      <c r="I34" s="21"/>
      <c r="J34" s="61"/>
      <c r="K34" s="61"/>
      <c r="L34" s="2"/>
      <c r="M34" s="21"/>
      <c r="N34" s="62"/>
      <c r="O34" s="21"/>
      <c r="P34" s="62"/>
      <c r="Q34" s="21"/>
      <c r="R34" s="21"/>
      <c r="S34" s="4"/>
      <c r="T34" s="24"/>
      <c r="U34" s="4"/>
      <c r="V34" s="24"/>
    </row>
    <row r="35" spans="2:22">
      <c r="B35" s="2"/>
      <c r="C35" s="61"/>
      <c r="D35" s="61"/>
      <c r="E35" s="21"/>
      <c r="F35" s="21"/>
      <c r="G35" s="21"/>
      <c r="H35" s="21"/>
      <c r="I35" s="21"/>
      <c r="J35" s="61"/>
      <c r="K35" s="61"/>
      <c r="L35" s="2"/>
      <c r="M35" s="21"/>
      <c r="N35" s="62"/>
      <c r="O35" s="21"/>
      <c r="P35" s="62"/>
      <c r="Q35" s="21"/>
      <c r="R35" s="21"/>
      <c r="S35" s="4"/>
      <c r="T35" s="24"/>
      <c r="U35" s="4"/>
      <c r="V35" s="24"/>
    </row>
    <row r="36" spans="2:22" ht="15" thickBot="1">
      <c r="B36" s="2"/>
      <c r="P36"/>
    </row>
    <row r="37" spans="2:22" s="53" customFormat="1" ht="16" thickBot="1">
      <c r="B37" s="51" t="s">
        <v>46</v>
      </c>
      <c r="C37" s="52" t="e">
        <f>C7+C9+C11+C13+C15+C17+C21+C23+C25+C27+C29+C31+#REF!+#REF!+#REF!+#REF!+#REF!</f>
        <v>#REF!</v>
      </c>
      <c r="D37" s="71">
        <f>SUM(D7:D36)</f>
        <v>113576.26</v>
      </c>
      <c r="E37" s="52">
        <f>SUM(E7:E36)</f>
        <v>4853.4470000000001</v>
      </c>
      <c r="F37" s="52">
        <v>117804.71</v>
      </c>
      <c r="G37" s="52">
        <v>6246.69</v>
      </c>
      <c r="H37" s="52">
        <v>7050.34</v>
      </c>
      <c r="I37" s="52">
        <v>103607.67</v>
      </c>
      <c r="J37" s="52">
        <f t="shared" ref="F37:O37" si="10">SUM(J7:J36)</f>
        <v>25675.059999999998</v>
      </c>
      <c r="K37" s="52">
        <v>81195.5</v>
      </c>
      <c r="L37" s="52">
        <f t="shared" si="10"/>
        <v>2420.83</v>
      </c>
      <c r="M37" s="52">
        <f t="shared" si="10"/>
        <v>78774.674499999994</v>
      </c>
      <c r="N37" s="52">
        <v>22839.53</v>
      </c>
      <c r="O37" s="52">
        <v>101614.2</v>
      </c>
      <c r="V37" s="54"/>
    </row>
    <row r="38" spans="2:22">
      <c r="C38" s="37"/>
      <c r="D38" s="37"/>
      <c r="E38" s="36"/>
      <c r="F38" s="36"/>
      <c r="G38" s="36"/>
      <c r="H38" s="36"/>
      <c r="I38" s="36"/>
      <c r="J38" s="39"/>
      <c r="K38" s="39"/>
      <c r="L38" s="36"/>
      <c r="M38" s="36"/>
      <c r="N38" s="40"/>
      <c r="O38" s="36"/>
      <c r="P38"/>
    </row>
    <row r="39" spans="2:22">
      <c r="P39"/>
    </row>
    <row r="40" spans="2:22">
      <c r="D40" s="3">
        <f>D37-39930</f>
        <v>73646.259999999995</v>
      </c>
      <c r="P40"/>
    </row>
    <row r="41" spans="2:22">
      <c r="J41" s="4">
        <f>J37-9272.29</f>
        <v>16402.769999999997</v>
      </c>
      <c r="P41"/>
    </row>
    <row r="42" spans="2:22">
      <c r="P42"/>
    </row>
  </sheetData>
  <mergeCells count="1">
    <mergeCell ref="G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422A-CEC5-484C-B795-F31651702943}">
  <dimension ref="B2:F37"/>
  <sheetViews>
    <sheetView topLeftCell="A5" workbookViewId="0">
      <selection activeCell="D19" sqref="D19"/>
    </sheetView>
  </sheetViews>
  <sheetFormatPr defaultRowHeight="14"/>
  <cols>
    <col min="1" max="1" width="8.7265625" style="26"/>
    <col min="2" max="2" width="38.7265625" style="26" customWidth="1"/>
    <col min="3" max="3" width="16" style="26" customWidth="1"/>
    <col min="4" max="4" width="15.1796875" style="27" customWidth="1"/>
    <col min="5" max="5" width="8.7265625" style="26"/>
    <col min="6" max="6" width="10.08984375" style="26" bestFit="1" customWidth="1"/>
    <col min="7" max="16384" width="8.7265625" style="26"/>
  </cols>
  <sheetData>
    <row r="2" spans="2:4">
      <c r="B2" s="63" t="s">
        <v>24</v>
      </c>
      <c r="C2" s="63"/>
      <c r="D2" s="63"/>
    </row>
    <row r="3" spans="2:4">
      <c r="D3" s="31" t="s">
        <v>25</v>
      </c>
    </row>
    <row r="4" spans="2:4">
      <c r="B4" s="28" t="s">
        <v>26</v>
      </c>
      <c r="C4" s="28"/>
      <c r="D4" s="27">
        <v>33000</v>
      </c>
    </row>
    <row r="5" spans="2:4">
      <c r="B5" s="28" t="s">
        <v>27</v>
      </c>
      <c r="C5" s="28"/>
      <c r="D5" s="27">
        <v>36300</v>
      </c>
    </row>
    <row r="7" spans="2:4">
      <c r="B7" s="26" t="s">
        <v>28</v>
      </c>
      <c r="D7" s="27">
        <f>0</f>
        <v>0</v>
      </c>
    </row>
    <row r="8" spans="2:4">
      <c r="B8" s="28" t="s">
        <v>30</v>
      </c>
      <c r="C8" s="28"/>
      <c r="D8" s="31">
        <f>D5+D7</f>
        <v>36300</v>
      </c>
    </row>
    <row r="10" spans="2:4">
      <c r="B10" s="28" t="s">
        <v>40</v>
      </c>
      <c r="C10" s="28"/>
    </row>
    <row r="11" spans="2:4">
      <c r="B11" s="26" t="s">
        <v>31</v>
      </c>
      <c r="D11" s="27">
        <v>625</v>
      </c>
    </row>
    <row r="13" spans="2:4">
      <c r="B13" s="28" t="s">
        <v>5</v>
      </c>
      <c r="C13" s="28"/>
      <c r="D13" s="31">
        <f>D8+D11</f>
        <v>36925</v>
      </c>
    </row>
    <row r="15" spans="2:4">
      <c r="B15" s="28" t="s">
        <v>29</v>
      </c>
      <c r="C15" s="28"/>
    </row>
    <row r="16" spans="2:4">
      <c r="B16" s="26" t="s">
        <v>32</v>
      </c>
      <c r="D16" s="27">
        <f>5.5%*D5</f>
        <v>1996.5</v>
      </c>
    </row>
    <row r="18" spans="2:4">
      <c r="B18" s="26" t="s">
        <v>36</v>
      </c>
      <c r="D18" s="27">
        <f>7%*D5</f>
        <v>2541.0000000000005</v>
      </c>
    </row>
    <row r="20" spans="2:4">
      <c r="B20" s="28" t="s">
        <v>7</v>
      </c>
      <c r="C20" s="28"/>
      <c r="D20" s="31">
        <f>D13-D16-D18</f>
        <v>32387.5</v>
      </c>
    </row>
    <row r="22" spans="2:4">
      <c r="B22" s="26" t="s">
        <v>39</v>
      </c>
      <c r="D22" s="27">
        <v>8319.92</v>
      </c>
    </row>
    <row r="24" spans="2:4">
      <c r="B24" s="28" t="s">
        <v>9</v>
      </c>
      <c r="D24" s="31">
        <f>D20-D22</f>
        <v>24067.58</v>
      </c>
    </row>
    <row r="26" spans="2:4">
      <c r="B26" s="28" t="s">
        <v>41</v>
      </c>
      <c r="D26" s="31">
        <f>24%*D5</f>
        <v>8712</v>
      </c>
    </row>
    <row r="28" spans="2:4">
      <c r="B28" s="28" t="s">
        <v>12</v>
      </c>
      <c r="D28" s="31">
        <f>SUM(D24:D27)</f>
        <v>32779.58</v>
      </c>
    </row>
    <row r="30" spans="2:4">
      <c r="B30" s="28"/>
    </row>
    <row r="32" spans="2:4">
      <c r="B32" s="28"/>
    </row>
    <row r="33" spans="2:6">
      <c r="C33" s="29"/>
    </row>
    <row r="34" spans="2:6">
      <c r="C34" s="38"/>
    </row>
    <row r="35" spans="2:6">
      <c r="B35" s="28"/>
      <c r="D35" s="31"/>
    </row>
    <row r="37" spans="2:6">
      <c r="B37" s="28"/>
      <c r="C37" s="28"/>
      <c r="D37" s="31"/>
      <c r="F37" s="30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8216-5D33-496A-8684-58F3F422DFB8}">
  <dimension ref="B2:F40"/>
  <sheetViews>
    <sheetView topLeftCell="A17" workbookViewId="0">
      <selection activeCell="B3" sqref="B3:D30"/>
    </sheetView>
  </sheetViews>
  <sheetFormatPr defaultRowHeight="14.5"/>
  <cols>
    <col min="2" max="2" width="37" customWidth="1"/>
    <col min="3" max="3" width="10.08984375" bestFit="1" customWidth="1"/>
    <col min="4" max="4" width="13.81640625" style="26" customWidth="1"/>
    <col min="6" max="6" width="9.08984375" bestFit="1" customWidth="1"/>
  </cols>
  <sheetData>
    <row r="2" spans="2:4">
      <c r="B2" s="26" t="s">
        <v>34</v>
      </c>
    </row>
    <row r="3" spans="2:4">
      <c r="D3" s="34" t="s">
        <v>25</v>
      </c>
    </row>
    <row r="4" spans="2:4">
      <c r="D4" s="32"/>
    </row>
    <row r="5" spans="2:4">
      <c r="B5" s="28" t="s">
        <v>26</v>
      </c>
      <c r="D5" s="29">
        <v>14579.29</v>
      </c>
    </row>
    <row r="6" spans="2:4">
      <c r="B6" s="26"/>
    </row>
    <row r="7" spans="2:4">
      <c r="B7" s="28" t="s">
        <v>27</v>
      </c>
      <c r="D7" s="29">
        <v>16037.22</v>
      </c>
    </row>
    <row r="8" spans="2:4">
      <c r="B8" s="26"/>
    </row>
    <row r="9" spans="2:4">
      <c r="B9" s="26" t="s">
        <v>28</v>
      </c>
      <c r="D9" s="29"/>
    </row>
    <row r="10" spans="2:4">
      <c r="B10" s="28" t="s">
        <v>30</v>
      </c>
      <c r="D10" s="30">
        <f>D7+D9</f>
        <v>16037.22</v>
      </c>
    </row>
    <row r="11" spans="2:4">
      <c r="B11" s="26"/>
    </row>
    <row r="12" spans="2:4">
      <c r="B12" s="28" t="s">
        <v>40</v>
      </c>
    </row>
    <row r="13" spans="2:4">
      <c r="B13" s="26" t="s">
        <v>31</v>
      </c>
      <c r="D13" s="29">
        <v>625</v>
      </c>
    </row>
    <row r="14" spans="2:4">
      <c r="B14" s="26"/>
    </row>
    <row r="15" spans="2:4">
      <c r="B15" s="28" t="s">
        <v>5</v>
      </c>
      <c r="D15" s="33">
        <f>D10+D13</f>
        <v>16662.22</v>
      </c>
    </row>
    <row r="16" spans="2:4">
      <c r="B16" s="26"/>
    </row>
    <row r="17" spans="2:4">
      <c r="B17" s="28" t="s">
        <v>35</v>
      </c>
    </row>
    <row r="18" spans="2:4">
      <c r="B18" s="26" t="s">
        <v>32</v>
      </c>
      <c r="D18" s="30">
        <f>5.5%*D7</f>
        <v>882.0471</v>
      </c>
    </row>
    <row r="19" spans="2:4">
      <c r="B19" s="26"/>
    </row>
    <row r="20" spans="2:4">
      <c r="B20" s="26" t="s">
        <v>36</v>
      </c>
      <c r="D20" s="30">
        <f>7%*D7</f>
        <v>1122.6054000000001</v>
      </c>
    </row>
    <row r="21" spans="2:4">
      <c r="B21" s="26"/>
    </row>
    <row r="22" spans="2:4">
      <c r="B22" s="28" t="s">
        <v>7</v>
      </c>
      <c r="D22" s="33">
        <f>D15-D18-D20</f>
        <v>14657.567500000001</v>
      </c>
    </row>
    <row r="23" spans="2:4">
      <c r="B23" s="26"/>
    </row>
    <row r="24" spans="2:4">
      <c r="B24" s="26" t="s">
        <v>42</v>
      </c>
      <c r="D24" s="29">
        <v>3262.89</v>
      </c>
    </row>
    <row r="25" spans="2:4">
      <c r="B25" s="26"/>
    </row>
    <row r="26" spans="2:4">
      <c r="B26" s="28" t="s">
        <v>9</v>
      </c>
      <c r="D26" s="33">
        <f>D22-D24</f>
        <v>11394.677500000002</v>
      </c>
    </row>
    <row r="27" spans="2:4">
      <c r="B27" s="26"/>
    </row>
    <row r="28" spans="2:4">
      <c r="B28" s="28" t="s">
        <v>41</v>
      </c>
      <c r="D28" s="37">
        <v>2886.7</v>
      </c>
    </row>
    <row r="29" spans="2:4">
      <c r="B29" s="26"/>
      <c r="D29" s="30"/>
    </row>
    <row r="30" spans="2:4">
      <c r="B30" s="28" t="s">
        <v>12</v>
      </c>
      <c r="C30" s="36"/>
      <c r="D30" s="33">
        <f>SUM(D26:D29)</f>
        <v>14281.377500000002</v>
      </c>
    </row>
    <row r="31" spans="2:4">
      <c r="B31" s="26"/>
    </row>
    <row r="32" spans="2:4">
      <c r="B32" s="28"/>
      <c r="D32" s="33"/>
    </row>
    <row r="33" spans="2:6">
      <c r="B33" s="26"/>
    </row>
    <row r="34" spans="2:6">
      <c r="B34" s="28"/>
    </row>
    <row r="35" spans="2:6">
      <c r="B35" s="26"/>
      <c r="C35" s="29"/>
    </row>
    <row r="36" spans="2:6">
      <c r="B36" s="26"/>
      <c r="C36" s="38"/>
      <c r="F36" s="4"/>
    </row>
    <row r="37" spans="2:6">
      <c r="B37" s="26"/>
      <c r="D37" s="30"/>
    </row>
    <row r="38" spans="2:6">
      <c r="B38" s="26"/>
      <c r="D38" s="30"/>
    </row>
    <row r="39" spans="2:6">
      <c r="B39" s="28"/>
      <c r="D39" s="33"/>
    </row>
    <row r="40" spans="2:6">
      <c r="B4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C72F-2476-46CA-8C7B-33010783753E}">
  <dimension ref="B2:F40"/>
  <sheetViews>
    <sheetView topLeftCell="A12" workbookViewId="0">
      <selection activeCell="B27" sqref="B27:D29"/>
    </sheetView>
  </sheetViews>
  <sheetFormatPr defaultRowHeight="14.5"/>
  <cols>
    <col min="2" max="2" width="40.26953125" customWidth="1"/>
    <col min="3" max="3" width="11.36328125" customWidth="1"/>
    <col min="4" max="4" width="17.1796875" customWidth="1"/>
    <col min="6" max="6" width="9.08984375" bestFit="1" customWidth="1"/>
  </cols>
  <sheetData>
    <row r="2" spans="2:4">
      <c r="B2" s="26"/>
      <c r="D2" s="26"/>
    </row>
    <row r="3" spans="2:4">
      <c r="D3" s="34" t="s">
        <v>25</v>
      </c>
    </row>
    <row r="4" spans="2:4">
      <c r="B4" s="28" t="s">
        <v>26</v>
      </c>
      <c r="D4" s="29">
        <v>8001.73</v>
      </c>
    </row>
    <row r="5" spans="2:4">
      <c r="B5" s="26"/>
      <c r="D5" s="26"/>
    </row>
    <row r="6" spans="2:4">
      <c r="B6" s="28" t="s">
        <v>27</v>
      </c>
      <c r="D6" s="29">
        <v>8801.9</v>
      </c>
    </row>
    <row r="7" spans="2:4">
      <c r="B7" s="26"/>
      <c r="D7" s="26"/>
    </row>
    <row r="8" spans="2:4">
      <c r="B8" s="26" t="s">
        <v>28</v>
      </c>
      <c r="D8" s="29">
        <f>0</f>
        <v>0</v>
      </c>
    </row>
    <row r="9" spans="2:4">
      <c r="B9" s="28" t="s">
        <v>30</v>
      </c>
      <c r="D9" s="30">
        <f>D6+D8</f>
        <v>8801.9</v>
      </c>
    </row>
    <row r="10" spans="2:4">
      <c r="B10" s="26"/>
      <c r="D10" s="26"/>
    </row>
    <row r="11" spans="2:4">
      <c r="B11" s="28" t="s">
        <v>40</v>
      </c>
      <c r="D11" s="26"/>
    </row>
    <row r="12" spans="2:4">
      <c r="B12" s="26" t="s">
        <v>31</v>
      </c>
      <c r="D12" s="29">
        <f>5%*D9</f>
        <v>440.09500000000003</v>
      </c>
    </row>
    <row r="13" spans="2:4">
      <c r="B13" s="26"/>
      <c r="D13" s="26"/>
    </row>
    <row r="14" spans="2:4">
      <c r="B14" s="28" t="s">
        <v>5</v>
      </c>
      <c r="D14" s="33">
        <f>D9+D12</f>
        <v>9241.994999999999</v>
      </c>
    </row>
    <row r="15" spans="2:4">
      <c r="B15" s="26"/>
      <c r="D15" s="26"/>
    </row>
    <row r="16" spans="2:4">
      <c r="B16" s="28" t="s">
        <v>35</v>
      </c>
      <c r="D16" s="26"/>
    </row>
    <row r="17" spans="2:4">
      <c r="B17" s="26" t="s">
        <v>32</v>
      </c>
      <c r="D17" s="30">
        <f>5.5%*D6</f>
        <v>484.10449999999997</v>
      </c>
    </row>
    <row r="18" spans="2:4">
      <c r="B18" s="26"/>
      <c r="D18" s="26"/>
    </row>
    <row r="19" spans="2:4">
      <c r="B19" s="26" t="s">
        <v>36</v>
      </c>
      <c r="D19" s="30">
        <f>7%*D6</f>
        <v>616.13300000000004</v>
      </c>
    </row>
    <row r="20" spans="2:4">
      <c r="B20" s="26"/>
      <c r="D20" s="26"/>
    </row>
    <row r="21" spans="2:4">
      <c r="B21" s="28" t="s">
        <v>7</v>
      </c>
      <c r="D21" s="33">
        <f>D14-D17-D19</f>
        <v>8141.7574999999997</v>
      </c>
    </row>
    <row r="22" spans="2:4">
      <c r="B22" s="26"/>
      <c r="D22" s="26"/>
    </row>
    <row r="23" spans="2:4">
      <c r="B23" s="26" t="s">
        <v>39</v>
      </c>
      <c r="D23" s="29">
        <v>1633.94</v>
      </c>
    </row>
    <row r="24" spans="2:4">
      <c r="B24" s="26"/>
      <c r="D24" s="26"/>
    </row>
    <row r="25" spans="2:4">
      <c r="B25" s="28" t="s">
        <v>9</v>
      </c>
      <c r="D25" s="33">
        <f>D21-D23</f>
        <v>6507.8174999999992</v>
      </c>
    </row>
    <row r="26" spans="2:4">
      <c r="B26" s="26"/>
      <c r="D26" s="26"/>
    </row>
    <row r="27" spans="2:4">
      <c r="B27" s="28" t="s">
        <v>41</v>
      </c>
      <c r="D27" s="37">
        <v>1584.34</v>
      </c>
    </row>
    <row r="28" spans="2:4">
      <c r="B28" s="26"/>
      <c r="D28" s="30"/>
    </row>
    <row r="29" spans="2:4">
      <c r="B29" s="28" t="s">
        <v>12</v>
      </c>
      <c r="C29" s="36"/>
      <c r="D29" s="33">
        <f>SUM(D25:D28)</f>
        <v>8092.1574999999993</v>
      </c>
    </row>
    <row r="30" spans="2:4">
      <c r="B30" s="28"/>
      <c r="D30" s="29"/>
    </row>
    <row r="31" spans="2:4">
      <c r="B31" s="28"/>
      <c r="D31" s="29"/>
    </row>
    <row r="32" spans="2:4">
      <c r="B32" s="28"/>
      <c r="D32" s="33"/>
    </row>
    <row r="33" spans="2:6">
      <c r="B33" s="26"/>
      <c r="D33" s="26"/>
    </row>
    <row r="34" spans="2:6">
      <c r="B34" s="28"/>
      <c r="D34" s="26"/>
    </row>
    <row r="35" spans="2:6">
      <c r="B35" s="26"/>
      <c r="C35" s="29"/>
      <c r="D35" s="26"/>
    </row>
    <row r="36" spans="2:6">
      <c r="B36" s="26"/>
      <c r="C36" s="38"/>
      <c r="D36" s="26"/>
    </row>
    <row r="37" spans="2:6">
      <c r="B37" s="28"/>
      <c r="D37" s="33"/>
    </row>
    <row r="38" spans="2:6">
      <c r="B38" s="26"/>
      <c r="D38" s="30"/>
    </row>
    <row r="39" spans="2:6">
      <c r="B39" s="28"/>
      <c r="D39" s="33"/>
    </row>
    <row r="40" spans="2:6">
      <c r="F40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69D1-F067-4AA0-BF17-D91600E16E1F}">
  <dimension ref="B2:D36"/>
  <sheetViews>
    <sheetView topLeftCell="A15" workbookViewId="0">
      <selection activeCell="B27" sqref="B27:D29"/>
    </sheetView>
  </sheetViews>
  <sheetFormatPr defaultRowHeight="14.5"/>
  <cols>
    <col min="2" max="2" width="37.26953125" customWidth="1"/>
    <col min="3" max="3" width="10" customWidth="1"/>
    <col min="4" max="4" width="20" customWidth="1"/>
  </cols>
  <sheetData>
    <row r="2" spans="2:4">
      <c r="D2" s="34" t="s">
        <v>25</v>
      </c>
    </row>
    <row r="3" spans="2:4">
      <c r="B3" s="28" t="s">
        <v>26</v>
      </c>
      <c r="D3" s="29">
        <v>2802</v>
      </c>
    </row>
    <row r="4" spans="2:4">
      <c r="B4" s="26"/>
      <c r="D4" s="26"/>
    </row>
    <row r="5" spans="2:4">
      <c r="B5" s="28" t="s">
        <v>27</v>
      </c>
      <c r="D5" s="29">
        <v>3082.2</v>
      </c>
    </row>
    <row r="6" spans="2:4">
      <c r="B6" s="26"/>
      <c r="D6" s="26"/>
    </row>
    <row r="7" spans="2:4">
      <c r="B7" s="26" t="s">
        <v>28</v>
      </c>
      <c r="D7" s="29">
        <f>0</f>
        <v>0</v>
      </c>
    </row>
    <row r="8" spans="2:4">
      <c r="B8" s="28" t="s">
        <v>30</v>
      </c>
      <c r="D8" s="30">
        <f>D5+D7</f>
        <v>3082.2</v>
      </c>
    </row>
    <row r="9" spans="2:4">
      <c r="B9" s="26"/>
      <c r="D9" s="26"/>
    </row>
    <row r="10" spans="2:4">
      <c r="B10" s="28" t="s">
        <v>0</v>
      </c>
      <c r="D10" s="26"/>
    </row>
    <row r="11" spans="2:4">
      <c r="B11" s="26" t="s">
        <v>31</v>
      </c>
      <c r="D11" s="29">
        <f>5%*D8</f>
        <v>154.11000000000001</v>
      </c>
    </row>
    <row r="12" spans="2:4">
      <c r="B12" s="26"/>
      <c r="D12" s="26"/>
    </row>
    <row r="13" spans="2:4">
      <c r="B13" s="28" t="s">
        <v>5</v>
      </c>
      <c r="D13" s="33">
        <f>D8+D11</f>
        <v>3236.31</v>
      </c>
    </row>
    <row r="14" spans="2:4">
      <c r="B14" s="26"/>
      <c r="D14" s="26"/>
    </row>
    <row r="15" spans="2:4">
      <c r="B15" s="28" t="s">
        <v>35</v>
      </c>
      <c r="D15" s="26"/>
    </row>
    <row r="16" spans="2:4">
      <c r="B16" s="26" t="s">
        <v>32</v>
      </c>
      <c r="D16" s="30">
        <f>5.5%*D5</f>
        <v>169.52099999999999</v>
      </c>
    </row>
    <row r="17" spans="2:4">
      <c r="B17" s="26"/>
      <c r="D17" s="26"/>
    </row>
    <row r="18" spans="2:4">
      <c r="B18" s="26" t="s">
        <v>36</v>
      </c>
      <c r="D18" s="30">
        <f>7%*D5</f>
        <v>215.75400000000002</v>
      </c>
    </row>
    <row r="19" spans="2:4">
      <c r="B19" s="26"/>
      <c r="D19" s="26"/>
    </row>
    <row r="20" spans="2:4">
      <c r="B20" s="28" t="s">
        <v>7</v>
      </c>
      <c r="D20" s="33">
        <f>D13-D16-D18</f>
        <v>2851.0349999999999</v>
      </c>
    </row>
    <row r="21" spans="2:4">
      <c r="B21" s="26"/>
      <c r="D21" s="26"/>
    </row>
    <row r="22" spans="2:4">
      <c r="B22" s="28" t="s">
        <v>37</v>
      </c>
      <c r="D22" s="29">
        <v>389.68</v>
      </c>
    </row>
    <row r="23" spans="2:4">
      <c r="B23" s="26"/>
      <c r="D23" s="26"/>
    </row>
    <row r="24" spans="2:4">
      <c r="B24" s="28" t="s">
        <v>9</v>
      </c>
      <c r="D24" s="33">
        <f>D20-D22</f>
        <v>2461.355</v>
      </c>
    </row>
    <row r="25" spans="2:4">
      <c r="B25" s="26"/>
      <c r="D25" s="26"/>
    </row>
    <row r="26" spans="2:4">
      <c r="B26" s="28" t="s">
        <v>41</v>
      </c>
      <c r="D26" s="37">
        <f>18%*D5</f>
        <v>554.79599999999994</v>
      </c>
    </row>
    <row r="27" spans="2:4">
      <c r="B27" s="26"/>
      <c r="D27" s="30"/>
    </row>
    <row r="28" spans="2:4">
      <c r="B28" s="28" t="s">
        <v>12</v>
      </c>
      <c r="C28" s="36"/>
      <c r="D28" s="33">
        <f>SUM(D24:D27)</f>
        <v>3016.1509999999998</v>
      </c>
    </row>
    <row r="29" spans="2:4">
      <c r="B29" s="28"/>
      <c r="D29" s="33"/>
    </row>
    <row r="30" spans="2:4">
      <c r="B30" s="26"/>
      <c r="D30" s="26"/>
    </row>
    <row r="31" spans="2:4">
      <c r="B31" s="28"/>
      <c r="D31" s="26"/>
    </row>
    <row r="32" spans="2:4">
      <c r="B32" s="26"/>
      <c r="C32" s="29"/>
      <c r="D32" s="26"/>
    </row>
    <row r="33" spans="2:4">
      <c r="B33" s="26"/>
      <c r="C33" s="38"/>
      <c r="D33" s="26"/>
    </row>
    <row r="34" spans="2:4">
      <c r="B34" s="28"/>
      <c r="D34" s="33"/>
    </row>
    <row r="35" spans="2:4">
      <c r="B35" s="26"/>
      <c r="D35" s="30"/>
    </row>
    <row r="36" spans="2:4">
      <c r="B36" s="28"/>
      <c r="D36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FBF4-1C3E-480E-AA8E-B65789D5CAC5}">
  <dimension ref="A1:C35"/>
  <sheetViews>
    <sheetView topLeftCell="A14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7410.65</v>
      </c>
    </row>
    <row r="3" spans="1:3">
      <c r="A3" s="26"/>
      <c r="C3" s="26"/>
    </row>
    <row r="4" spans="1:3">
      <c r="A4" s="28" t="s">
        <v>27</v>
      </c>
      <c r="C4" s="29">
        <v>8151.72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8151.72</v>
      </c>
    </row>
    <row r="8" spans="1:3">
      <c r="A8" s="26"/>
      <c r="C8" s="26"/>
    </row>
    <row r="9" spans="1:3">
      <c r="A9" s="28" t="s">
        <v>40</v>
      </c>
      <c r="C9" s="26"/>
    </row>
    <row r="10" spans="1:3">
      <c r="A10" s="26" t="s">
        <v>31</v>
      </c>
      <c r="C10" s="29">
        <f>5%*C7</f>
        <v>407.58600000000001</v>
      </c>
    </row>
    <row r="11" spans="1:3">
      <c r="A11" s="26"/>
      <c r="C11" s="26"/>
    </row>
    <row r="12" spans="1:3">
      <c r="A12" s="28" t="s">
        <v>5</v>
      </c>
      <c r="C12" s="33">
        <f>C7+C10</f>
        <v>8559.3060000000005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448.34460000000001</v>
      </c>
    </row>
    <row r="16" spans="1:3">
      <c r="A16" s="26"/>
      <c r="C16" s="26"/>
    </row>
    <row r="17" spans="1:3">
      <c r="A17" s="26" t="s">
        <v>36</v>
      </c>
      <c r="C17" s="30">
        <f>7%*C4</f>
        <v>570.62040000000002</v>
      </c>
    </row>
    <row r="18" spans="1:3">
      <c r="A18" s="26"/>
      <c r="C18" s="26"/>
    </row>
    <row r="19" spans="1:3">
      <c r="A19" s="28" t="s">
        <v>7</v>
      </c>
      <c r="C19" s="33">
        <f>C12-C15-C17</f>
        <v>7540.3410000000003</v>
      </c>
    </row>
    <row r="20" spans="1:3">
      <c r="A20" s="26"/>
      <c r="C20" s="26"/>
    </row>
    <row r="21" spans="1:3">
      <c r="A21" s="26" t="s">
        <v>43</v>
      </c>
      <c r="C21" s="29">
        <v>1483.58</v>
      </c>
    </row>
    <row r="22" spans="1:3">
      <c r="A22" s="26"/>
      <c r="C22" s="26"/>
    </row>
    <row r="23" spans="1:3">
      <c r="A23" s="28" t="s">
        <v>9</v>
      </c>
      <c r="C23" s="33">
        <f>C19-C21</f>
        <v>6056.7610000000004</v>
      </c>
    </row>
    <row r="24" spans="1:3">
      <c r="A24" s="26"/>
      <c r="C24" s="26"/>
    </row>
    <row r="25" spans="1:3">
      <c r="A25" s="28" t="s">
        <v>41</v>
      </c>
      <c r="C25" s="37">
        <f>18%*C4</f>
        <v>1467.3096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7524.0706000000009</v>
      </c>
    </row>
    <row r="28" spans="1:3">
      <c r="A28" s="28"/>
      <c r="C28" s="33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 s="36" customFormat="1">
      <c r="A33" s="28"/>
      <c r="C33" s="33"/>
    </row>
    <row r="34" spans="1:3">
      <c r="A34" s="26"/>
      <c r="C34" s="30"/>
    </row>
    <row r="35" spans="1:3">
      <c r="A35" s="28"/>
      <c r="C35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4284-140D-4287-96DF-43EF72CBEFE5}">
  <dimension ref="A1:C35"/>
  <sheetViews>
    <sheetView topLeftCell="A12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9719.93</v>
      </c>
    </row>
    <row r="3" spans="1:3">
      <c r="A3" s="26"/>
      <c r="C3" s="26"/>
    </row>
    <row r="4" spans="1:3">
      <c r="A4" s="28" t="s">
        <v>27</v>
      </c>
      <c r="C4" s="29">
        <v>10691.92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10691.92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534.596</v>
      </c>
    </row>
    <row r="11" spans="1:3">
      <c r="A11" s="26"/>
      <c r="C11" s="26"/>
    </row>
    <row r="12" spans="1:3">
      <c r="A12" s="28" t="s">
        <v>5</v>
      </c>
      <c r="C12" s="33">
        <f>C7+C10</f>
        <v>11226.516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588.05560000000003</v>
      </c>
    </row>
    <row r="16" spans="1:3">
      <c r="A16" s="26"/>
      <c r="C16" s="26"/>
    </row>
    <row r="17" spans="1:3">
      <c r="A17" s="26" t="s">
        <v>33</v>
      </c>
      <c r="C17" s="30">
        <f>7%*C4</f>
        <v>748.4344000000001</v>
      </c>
    </row>
    <row r="18" spans="1:3">
      <c r="A18" s="26"/>
      <c r="C18" s="26"/>
    </row>
    <row r="19" spans="1:3">
      <c r="A19" s="28" t="s">
        <v>7</v>
      </c>
      <c r="C19" s="33">
        <f>C12-C15-C17</f>
        <v>9890.0259999999998</v>
      </c>
    </row>
    <row r="20" spans="1:3">
      <c r="A20" s="26"/>
      <c r="C20" s="26"/>
    </row>
    <row r="21" spans="1:3">
      <c r="A21" s="26" t="s">
        <v>2</v>
      </c>
      <c r="C21" s="29">
        <v>2071.0100000000002</v>
      </c>
    </row>
    <row r="22" spans="1:3">
      <c r="A22" s="26"/>
      <c r="C22" s="26"/>
    </row>
    <row r="23" spans="1:3">
      <c r="A23" s="28" t="s">
        <v>9</v>
      </c>
      <c r="C23" s="33">
        <f>C19-C21</f>
        <v>7819.0159999999996</v>
      </c>
    </row>
    <row r="24" spans="1:3">
      <c r="A24" s="26"/>
      <c r="C24" s="26"/>
    </row>
    <row r="25" spans="1:3">
      <c r="A25" s="28" t="s">
        <v>41</v>
      </c>
      <c r="C25" s="37">
        <f>18%*C4</f>
        <v>1924.5455999999999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9743.5615999999991</v>
      </c>
    </row>
    <row r="28" spans="1:3">
      <c r="A28" s="28"/>
      <c r="C28" s="33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 s="36" customFormat="1">
      <c r="A33" s="28"/>
      <c r="C33" s="33"/>
    </row>
    <row r="34" spans="1:3">
      <c r="A34" s="26"/>
      <c r="C34" s="30"/>
    </row>
    <row r="35" spans="1:3">
      <c r="A35" s="28"/>
      <c r="C35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F7DA-4737-484B-85DC-A87E41C4C991}">
  <dimension ref="A1:C38"/>
  <sheetViews>
    <sheetView topLeftCell="A16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4668.42</v>
      </c>
    </row>
    <row r="3" spans="1:3">
      <c r="A3" s="26"/>
      <c r="C3" s="26"/>
    </row>
    <row r="4" spans="1:3">
      <c r="A4" s="28" t="s">
        <v>27</v>
      </c>
      <c r="C4" s="29">
        <v>5135.26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3">
        <f>C4+C6</f>
        <v>5135.26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256.76300000000003</v>
      </c>
    </row>
    <row r="11" spans="1:3">
      <c r="A11" s="26"/>
      <c r="C11" s="26"/>
    </row>
    <row r="12" spans="1:3">
      <c r="A12" s="28" t="s">
        <v>5</v>
      </c>
      <c r="C12" s="33">
        <f>C7+C10</f>
        <v>5392.0230000000001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282.4393</v>
      </c>
    </row>
    <row r="16" spans="1:3">
      <c r="A16" s="26"/>
      <c r="C16" s="26"/>
    </row>
    <row r="17" spans="1:3">
      <c r="A17" s="26" t="s">
        <v>36</v>
      </c>
      <c r="C17" s="30">
        <f>7%*C4</f>
        <v>359.46820000000002</v>
      </c>
    </row>
    <row r="18" spans="1:3">
      <c r="A18" s="26"/>
      <c r="C18" s="26"/>
    </row>
    <row r="19" spans="1:3">
      <c r="A19" s="28" t="s">
        <v>7</v>
      </c>
      <c r="C19" s="33">
        <f>C12-C15-C17</f>
        <v>4750.1154999999999</v>
      </c>
    </row>
    <row r="20" spans="1:3">
      <c r="A20" s="26"/>
      <c r="C20" s="26"/>
    </row>
    <row r="21" spans="1:3">
      <c r="A21" s="26" t="s">
        <v>2</v>
      </c>
      <c r="C21" s="29">
        <v>786.03</v>
      </c>
    </row>
    <row r="22" spans="1:3">
      <c r="A22" s="26"/>
      <c r="C22" s="26"/>
    </row>
    <row r="23" spans="1:3">
      <c r="A23" s="28" t="s">
        <v>9</v>
      </c>
      <c r="C23" s="33">
        <f>C19-C21</f>
        <v>3964.0855000000001</v>
      </c>
    </row>
    <row r="24" spans="1:3">
      <c r="A24" s="28"/>
      <c r="C24" s="33"/>
    </row>
    <row r="25" spans="1:3">
      <c r="A25" s="28" t="s">
        <v>44</v>
      </c>
      <c r="C25" s="33">
        <v>233.33</v>
      </c>
    </row>
    <row r="26" spans="1:3">
      <c r="A26" s="28"/>
      <c r="C26" s="33"/>
    </row>
    <row r="27" spans="1:3">
      <c r="A27" s="28" t="s">
        <v>45</v>
      </c>
      <c r="C27" s="37">
        <f>C23-C25</f>
        <v>3730.7555000000002</v>
      </c>
    </row>
    <row r="28" spans="1:3">
      <c r="A28" s="26"/>
      <c r="C28" s="30"/>
    </row>
    <row r="29" spans="1:3">
      <c r="A29" s="28" t="s">
        <v>41</v>
      </c>
      <c r="B29" s="36"/>
      <c r="C29" s="33">
        <f>18%*C4</f>
        <v>924.34680000000003</v>
      </c>
    </row>
    <row r="30" spans="1:3">
      <c r="A30" s="28"/>
      <c r="C30" s="29"/>
    </row>
    <row r="31" spans="1:3">
      <c r="A31" s="28" t="s">
        <v>12</v>
      </c>
      <c r="C31" s="33">
        <f>C27+C29</f>
        <v>4655.1023000000005</v>
      </c>
    </row>
    <row r="32" spans="1:3">
      <c r="A32" s="26"/>
      <c r="C32" s="26"/>
    </row>
    <row r="33" spans="1:3">
      <c r="A33" s="28"/>
      <c r="C33" s="26"/>
    </row>
    <row r="34" spans="1:3">
      <c r="A34" s="26"/>
      <c r="B34" s="29"/>
      <c r="C34" s="26"/>
    </row>
    <row r="35" spans="1:3">
      <c r="A35" s="26"/>
      <c r="B35" s="38"/>
      <c r="C35" s="26"/>
    </row>
    <row r="36" spans="1:3">
      <c r="A36" s="28"/>
      <c r="C36" s="30"/>
    </row>
    <row r="37" spans="1:3">
      <c r="A37" s="28"/>
      <c r="C37" s="30"/>
    </row>
    <row r="38" spans="1:3">
      <c r="A38" s="28"/>
      <c r="C38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914D-BFA9-468A-8DB1-4D066C70AB77}">
  <dimension ref="A1:C34"/>
  <sheetViews>
    <sheetView topLeftCell="A11" workbookViewId="0">
      <selection sqref="A1:C27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11634.15</v>
      </c>
    </row>
    <row r="3" spans="1:3">
      <c r="A3" s="26"/>
      <c r="C3" s="26"/>
    </row>
    <row r="4" spans="1:3">
      <c r="A4" s="28" t="s">
        <v>27</v>
      </c>
      <c r="C4" s="29">
        <v>12797.57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12797.57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v>625</v>
      </c>
    </row>
    <row r="11" spans="1:3">
      <c r="A11" s="26"/>
      <c r="C11" s="26"/>
    </row>
    <row r="12" spans="1:3">
      <c r="A12" s="28" t="s">
        <v>5</v>
      </c>
      <c r="C12" s="33">
        <f>C7+C10</f>
        <v>13422.57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703.86635000000001</v>
      </c>
    </row>
    <row r="16" spans="1:3">
      <c r="A16" s="26"/>
      <c r="C16" s="26"/>
    </row>
    <row r="17" spans="1:3">
      <c r="A17" s="26" t="s">
        <v>33</v>
      </c>
      <c r="C17" s="30">
        <f>7%*C4</f>
        <v>895.82990000000007</v>
      </c>
    </row>
    <row r="18" spans="1:3">
      <c r="A18" s="26"/>
      <c r="C18" s="26"/>
    </row>
    <row r="19" spans="1:3">
      <c r="A19" s="28" t="s">
        <v>7</v>
      </c>
      <c r="C19" s="33">
        <f>C12-C15-C17</f>
        <v>11822.873749999999</v>
      </c>
    </row>
    <row r="20" spans="1:3">
      <c r="A20" s="26"/>
      <c r="C20" s="26"/>
    </row>
    <row r="21" spans="1:3">
      <c r="A21" s="26" t="s">
        <v>39</v>
      </c>
      <c r="C21" s="29">
        <v>2554.2199999999998</v>
      </c>
    </row>
    <row r="22" spans="1:3">
      <c r="A22" s="26"/>
      <c r="C22" s="26"/>
    </row>
    <row r="23" spans="1:3">
      <c r="A23" s="28" t="s">
        <v>9</v>
      </c>
      <c r="C23" s="33">
        <f>C19-C21</f>
        <v>9268.6537499999995</v>
      </c>
    </row>
    <row r="24" spans="1:3">
      <c r="A24" s="26"/>
      <c r="C24" s="26"/>
    </row>
    <row r="25" spans="1:3">
      <c r="A25" s="28" t="s">
        <v>41</v>
      </c>
      <c r="C25" s="37">
        <f>18%*C4</f>
        <v>2303.5625999999997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11572.216349999999</v>
      </c>
    </row>
    <row r="28" spans="1:3">
      <c r="A28" s="28"/>
      <c r="C28" s="33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>
      <c r="A33" s="26"/>
      <c r="C33" s="30"/>
    </row>
    <row r="34" spans="1:3">
      <c r="A34" s="28"/>
      <c r="C34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6571-35DC-48BC-AA38-F58FFF3BE23D}">
  <dimension ref="A1:C34"/>
  <sheetViews>
    <sheetView topLeftCell="A15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6778.42</v>
      </c>
    </row>
    <row r="3" spans="1:3">
      <c r="A3" s="26"/>
      <c r="C3" s="26"/>
    </row>
    <row r="4" spans="1:3">
      <c r="A4" s="28" t="s">
        <v>27</v>
      </c>
      <c r="C4" s="29">
        <v>7456.26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7456.26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372.81300000000005</v>
      </c>
    </row>
    <row r="11" spans="1:3">
      <c r="A11" s="26"/>
      <c r="C11" s="26"/>
    </row>
    <row r="12" spans="1:3">
      <c r="A12" s="28" t="s">
        <v>5</v>
      </c>
      <c r="C12" s="33">
        <f>C7+C10</f>
        <v>7829.0730000000003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410.09430000000003</v>
      </c>
    </row>
    <row r="16" spans="1:3">
      <c r="A16" s="26"/>
      <c r="C16" s="26"/>
    </row>
    <row r="17" spans="1:3">
      <c r="A17" s="26" t="s">
        <v>33</v>
      </c>
      <c r="C17" s="30">
        <f>7%*C4</f>
        <v>521.93820000000005</v>
      </c>
    </row>
    <row r="18" spans="1:3">
      <c r="A18" s="26"/>
      <c r="C18" s="26"/>
    </row>
    <row r="19" spans="1:3">
      <c r="A19" s="28" t="s">
        <v>7</v>
      </c>
      <c r="C19" s="33">
        <f>C12-C15-C17</f>
        <v>6897.040500000001</v>
      </c>
    </row>
    <row r="20" spans="1:3">
      <c r="A20" s="26"/>
      <c r="C20" s="26"/>
    </row>
    <row r="21" spans="1:3">
      <c r="A21" s="26" t="s">
        <v>39</v>
      </c>
      <c r="C21" s="29">
        <v>1322.76</v>
      </c>
    </row>
    <row r="22" spans="1:3">
      <c r="A22" s="26"/>
      <c r="C22" s="26"/>
    </row>
    <row r="23" spans="1:3">
      <c r="A23" s="28" t="s">
        <v>9</v>
      </c>
      <c r="C23" s="33">
        <f>C19-C21</f>
        <v>5574.2805000000008</v>
      </c>
    </row>
    <row r="24" spans="1:3">
      <c r="A24" s="26"/>
      <c r="C24" s="26"/>
    </row>
    <row r="25" spans="1:3">
      <c r="A25" s="28" t="s">
        <v>41</v>
      </c>
      <c r="C25" s="37">
        <f>18%*C4</f>
        <v>1342.1268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6916.4073000000008</v>
      </c>
    </row>
    <row r="28" spans="1:3">
      <c r="A28" s="28"/>
      <c r="C28" s="33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>
      <c r="A33" s="26"/>
      <c r="C33" s="30"/>
    </row>
    <row r="34" spans="1:3">
      <c r="A34" s="28"/>
      <c r="C34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7435-A587-445B-9BA0-4560D8AB06BD}">
  <dimension ref="A1:C35"/>
  <sheetViews>
    <sheetView topLeftCell="A16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3674.77</v>
      </c>
    </row>
    <row r="3" spans="1:3">
      <c r="A3" s="26"/>
      <c r="C3" s="26"/>
    </row>
    <row r="4" spans="1:3">
      <c r="A4" s="28" t="s">
        <v>27</v>
      </c>
      <c r="C4" s="29">
        <v>4042.25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4042.25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202.11250000000001</v>
      </c>
    </row>
    <row r="11" spans="1:3">
      <c r="A11" s="26"/>
      <c r="C11" s="26"/>
    </row>
    <row r="12" spans="1:3">
      <c r="A12" s="28" t="s">
        <v>5</v>
      </c>
      <c r="C12" s="33">
        <f>C7+C10</f>
        <v>4244.3625000000002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222.32374999999999</v>
      </c>
    </row>
    <row r="16" spans="1:3">
      <c r="A16" s="26"/>
      <c r="C16" s="26"/>
    </row>
    <row r="17" spans="1:3">
      <c r="A17" s="26" t="s">
        <v>36</v>
      </c>
      <c r="C17" s="30">
        <f>7%*C4</f>
        <v>282.95750000000004</v>
      </c>
    </row>
    <row r="18" spans="1:3">
      <c r="A18" s="26"/>
      <c r="C18" s="26"/>
    </row>
    <row r="19" spans="1:3">
      <c r="A19" s="28" t="s">
        <v>7</v>
      </c>
      <c r="C19" s="33">
        <f>C12-C15-C17</f>
        <v>3739.0812500000002</v>
      </c>
    </row>
    <row r="20" spans="1:3">
      <c r="A20" s="26"/>
      <c r="C20" s="26"/>
    </row>
    <row r="21" spans="1:3">
      <c r="A21" s="26" t="s">
        <v>2</v>
      </c>
      <c r="C21" s="29">
        <v>545.09</v>
      </c>
    </row>
    <row r="22" spans="1:3">
      <c r="A22" s="26"/>
      <c r="C22" s="26"/>
    </row>
    <row r="23" spans="1:3">
      <c r="A23" s="28" t="s">
        <v>9</v>
      </c>
      <c r="C23" s="33">
        <f>C19-C21</f>
        <v>3193.99125</v>
      </c>
    </row>
    <row r="24" spans="1:3">
      <c r="A24" s="26"/>
      <c r="C24" s="26"/>
    </row>
    <row r="25" spans="1:3">
      <c r="A25" s="28" t="s">
        <v>41</v>
      </c>
      <c r="C25" s="37">
        <v>727.6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3921.5912499999999</v>
      </c>
    </row>
    <row r="28" spans="1:3">
      <c r="A28" s="28"/>
      <c r="C28" s="35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>
      <c r="A33" s="26"/>
      <c r="C33" s="30"/>
    </row>
    <row r="34" spans="1:3">
      <c r="A34" s="26"/>
      <c r="C34" s="30"/>
    </row>
    <row r="35" spans="1:3">
      <c r="A35" s="28"/>
      <c r="C35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E61A-61E5-45FF-9BD0-7579B7AA5AEC}">
  <dimension ref="A1:C37"/>
  <sheetViews>
    <sheetView topLeftCell="A16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2049.7399999999998</v>
      </c>
    </row>
    <row r="3" spans="1:3">
      <c r="A3" s="26"/>
      <c r="C3" s="26"/>
    </row>
    <row r="4" spans="1:3">
      <c r="A4" s="28" t="s">
        <v>27</v>
      </c>
      <c r="C4" s="37">
        <v>2254.71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2254.71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112.7355</v>
      </c>
    </row>
    <row r="11" spans="1:3">
      <c r="A11" s="26"/>
      <c r="C11" s="26"/>
    </row>
    <row r="12" spans="1:3">
      <c r="A12" s="28" t="s">
        <v>5</v>
      </c>
      <c r="C12" s="33">
        <f>C7+C10</f>
        <v>2367.4454999999998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124.00905</v>
      </c>
    </row>
    <row r="16" spans="1:3">
      <c r="A16" s="26"/>
      <c r="C16" s="26"/>
    </row>
    <row r="17" spans="1:3">
      <c r="A17" s="26" t="s">
        <v>36</v>
      </c>
      <c r="C17" s="30">
        <f>7%*C4</f>
        <v>157.82970000000003</v>
      </c>
    </row>
    <row r="18" spans="1:3">
      <c r="A18" s="26"/>
      <c r="C18" s="26"/>
    </row>
    <row r="19" spans="1:3">
      <c r="A19" s="28" t="s">
        <v>7</v>
      </c>
      <c r="C19" s="33">
        <f>C12-C15-C17</f>
        <v>2085.6067499999995</v>
      </c>
    </row>
    <row r="20" spans="1:3">
      <c r="A20" s="26"/>
      <c r="C20" s="26"/>
    </row>
    <row r="21" spans="1:3">
      <c r="A21" s="26" t="s">
        <v>2</v>
      </c>
      <c r="C21" s="29">
        <v>255.73</v>
      </c>
    </row>
    <row r="22" spans="1:3">
      <c r="A22" s="26"/>
      <c r="C22" s="26"/>
    </row>
    <row r="23" spans="1:3">
      <c r="A23" s="28" t="s">
        <v>9</v>
      </c>
      <c r="C23" s="33">
        <f>C19-C21</f>
        <v>1829.8767499999994</v>
      </c>
    </row>
    <row r="24" spans="1:3">
      <c r="A24" s="28"/>
      <c r="C24" s="33"/>
    </row>
    <row r="25" spans="1:3">
      <c r="A25" s="26" t="s">
        <v>10</v>
      </c>
      <c r="C25" s="29">
        <v>437.5</v>
      </c>
    </row>
    <row r="26" spans="1:3">
      <c r="A26" s="28" t="s">
        <v>45</v>
      </c>
      <c r="C26" s="30">
        <f>C23-C25</f>
        <v>1392.3767499999994</v>
      </c>
    </row>
    <row r="27" spans="1:3">
      <c r="A27" s="28" t="s">
        <v>41</v>
      </c>
      <c r="C27" s="37">
        <f>18%*C4</f>
        <v>405.84780000000001</v>
      </c>
    </row>
    <row r="28" spans="1:3">
      <c r="A28" s="26"/>
      <c r="C28" s="30"/>
    </row>
    <row r="29" spans="1:3">
      <c r="A29" s="28" t="s">
        <v>12</v>
      </c>
      <c r="B29" s="36"/>
      <c r="C29" s="33">
        <f>C26+C27</f>
        <v>1798.2245499999995</v>
      </c>
    </row>
    <row r="30" spans="1:3">
      <c r="A30" s="28"/>
      <c r="C30" s="33"/>
    </row>
    <row r="31" spans="1:3">
      <c r="A31" s="26"/>
      <c r="C31" s="26"/>
    </row>
    <row r="32" spans="1:3">
      <c r="A32" s="28"/>
      <c r="C32" s="26"/>
    </row>
    <row r="33" spans="1:3">
      <c r="A33" s="26"/>
      <c r="B33" s="29"/>
      <c r="C33" s="26"/>
    </row>
    <row r="34" spans="1:3">
      <c r="A34" s="26"/>
      <c r="B34" s="38"/>
      <c r="C34" s="26"/>
    </row>
    <row r="35" spans="1:3">
      <c r="A35" s="26"/>
      <c r="C35" s="30"/>
    </row>
    <row r="36" spans="1:3">
      <c r="A36" s="26"/>
      <c r="C36" s="30"/>
    </row>
    <row r="37" spans="1:3">
      <c r="A37" s="28"/>
      <c r="C37" s="3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B4D7-9F3C-48EB-AC37-FCE82B9CD11C}">
  <dimension ref="A1:C35"/>
  <sheetViews>
    <sheetView topLeftCell="A13" workbookViewId="0">
      <selection activeCell="B27" sqref="B27:D29"/>
    </sheetView>
  </sheetViews>
  <sheetFormatPr defaultRowHeight="14.5"/>
  <cols>
    <col min="1" max="1" width="42.453125" customWidth="1"/>
    <col min="2" max="2" width="16.1796875" customWidth="1"/>
    <col min="3" max="3" width="14.81640625" customWidth="1"/>
  </cols>
  <sheetData>
    <row r="1" spans="1:3">
      <c r="C1" s="34" t="s">
        <v>25</v>
      </c>
    </row>
    <row r="2" spans="1:3">
      <c r="A2" s="28" t="s">
        <v>26</v>
      </c>
      <c r="C2" s="29">
        <v>3025</v>
      </c>
    </row>
    <row r="3" spans="1:3">
      <c r="A3" s="26"/>
      <c r="C3" s="26"/>
    </row>
    <row r="4" spans="1:3">
      <c r="A4" s="28" t="s">
        <v>27</v>
      </c>
      <c r="C4" s="29">
        <v>3327.5</v>
      </c>
    </row>
    <row r="5" spans="1:3">
      <c r="A5" s="26"/>
      <c r="C5" s="26"/>
    </row>
    <row r="6" spans="1:3">
      <c r="A6" s="26" t="s">
        <v>28</v>
      </c>
      <c r="C6" s="29">
        <f>0</f>
        <v>0</v>
      </c>
    </row>
    <row r="7" spans="1:3">
      <c r="A7" s="28" t="s">
        <v>30</v>
      </c>
      <c r="C7" s="30">
        <f>C4+C6</f>
        <v>3327.5</v>
      </c>
    </row>
    <row r="8" spans="1:3">
      <c r="A8" s="26"/>
      <c r="C8" s="26"/>
    </row>
    <row r="9" spans="1:3">
      <c r="A9" s="28" t="s">
        <v>0</v>
      </c>
      <c r="C9" s="26"/>
    </row>
    <row r="10" spans="1:3">
      <c r="A10" s="26" t="s">
        <v>31</v>
      </c>
      <c r="C10" s="29">
        <f>5%*C7</f>
        <v>166.375</v>
      </c>
    </row>
    <row r="11" spans="1:3">
      <c r="A11" s="26"/>
      <c r="C11" s="26"/>
    </row>
    <row r="12" spans="1:3">
      <c r="A12" s="28" t="s">
        <v>5</v>
      </c>
      <c r="C12" s="33">
        <f>C7+C10</f>
        <v>3493.875</v>
      </c>
    </row>
    <row r="13" spans="1:3">
      <c r="A13" s="26"/>
      <c r="C13" s="26"/>
    </row>
    <row r="14" spans="1:3">
      <c r="A14" s="28" t="s">
        <v>35</v>
      </c>
      <c r="C14" s="26"/>
    </row>
    <row r="15" spans="1:3">
      <c r="A15" s="26" t="s">
        <v>32</v>
      </c>
      <c r="C15" s="30">
        <f>5.5%*C4</f>
        <v>183.01249999999999</v>
      </c>
    </row>
    <row r="16" spans="1:3">
      <c r="A16" s="26"/>
      <c r="C16" s="26"/>
    </row>
    <row r="17" spans="1:3">
      <c r="A17" s="26" t="s">
        <v>36</v>
      </c>
      <c r="C17" s="30">
        <f>7%*C4</f>
        <v>232.92500000000001</v>
      </c>
    </row>
    <row r="18" spans="1:3">
      <c r="A18" s="26"/>
      <c r="C18" s="26"/>
    </row>
    <row r="19" spans="1:3">
      <c r="A19" s="28" t="s">
        <v>7</v>
      </c>
      <c r="C19" s="33">
        <f>C12-C15-C17</f>
        <v>3077.9375</v>
      </c>
    </row>
    <row r="20" spans="1:3">
      <c r="A20" s="26"/>
      <c r="C20" s="26"/>
    </row>
    <row r="21" spans="1:3">
      <c r="A21" s="26" t="s">
        <v>2</v>
      </c>
      <c r="C21" s="29">
        <v>429.39</v>
      </c>
    </row>
    <row r="22" spans="1:3">
      <c r="A22" s="26"/>
      <c r="C22" s="26"/>
    </row>
    <row r="23" spans="1:3">
      <c r="A23" s="28" t="s">
        <v>9</v>
      </c>
      <c r="C23" s="33">
        <f>C19-C21</f>
        <v>2648.5475000000001</v>
      </c>
    </row>
    <row r="24" spans="1:3">
      <c r="A24" s="26"/>
      <c r="C24" s="26"/>
    </row>
    <row r="25" spans="1:3">
      <c r="A25" s="28" t="s">
        <v>41</v>
      </c>
      <c r="C25" s="37">
        <f>18%*C4</f>
        <v>598.94999999999993</v>
      </c>
    </row>
    <row r="26" spans="1:3">
      <c r="A26" s="26"/>
      <c r="C26" s="30"/>
    </row>
    <row r="27" spans="1:3">
      <c r="A27" s="28" t="s">
        <v>12</v>
      </c>
      <c r="B27" s="36"/>
      <c r="C27" s="33">
        <f>SUM(C23:C26)</f>
        <v>3247.4974999999999</v>
      </c>
    </row>
    <row r="28" spans="1:3">
      <c r="A28" s="28"/>
      <c r="C28" s="33"/>
    </row>
    <row r="29" spans="1:3">
      <c r="A29" s="26"/>
      <c r="C29" s="26"/>
    </row>
    <row r="30" spans="1:3">
      <c r="A30" s="28"/>
      <c r="C30" s="26"/>
    </row>
    <row r="31" spans="1:3">
      <c r="A31" s="26"/>
      <c r="B31" s="29"/>
      <c r="C31" s="26"/>
    </row>
    <row r="32" spans="1:3">
      <c r="A32" s="26"/>
      <c r="B32" s="38"/>
      <c r="C32" s="26"/>
    </row>
    <row r="33" spans="1:3">
      <c r="A33" s="28"/>
      <c r="C33" s="30"/>
    </row>
    <row r="34" spans="1:3">
      <c r="A34" s="28"/>
      <c r="C34" s="30"/>
    </row>
    <row r="35" spans="1:3">
      <c r="A35" s="28"/>
      <c r="C3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PAYROLL</vt:lpstr>
      <vt:lpstr>Dr.Eduku</vt:lpstr>
      <vt:lpstr>Josephine Ayesu</vt:lpstr>
      <vt:lpstr>BRIGHT</vt:lpstr>
      <vt:lpstr>John</vt:lpstr>
      <vt:lpstr>Ama</vt:lpstr>
      <vt:lpstr>Audrey</vt:lpstr>
      <vt:lpstr>Stephen</vt:lpstr>
      <vt:lpstr>Yen</vt:lpstr>
      <vt:lpstr>Jennifer</vt:lpstr>
      <vt:lpstr>Harriet</vt:lpstr>
      <vt:lpstr>Harrison</vt:lpstr>
      <vt:lpstr>Pokuaa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Osei Baah</dc:creator>
  <cp:lastModifiedBy>Frank Osei Baah</cp:lastModifiedBy>
  <cp:lastPrinted>2026-01-28T14:12:54Z</cp:lastPrinted>
  <dcterms:created xsi:type="dcterms:W3CDTF">2025-04-19T10:01:00Z</dcterms:created>
  <dcterms:modified xsi:type="dcterms:W3CDTF">2026-07-05T07:39:14Z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B160A666B805412A9E4F6944AEB26069_12</vt:lpwstr>
  </property>
  <property fmtid="{D5CDD505-2E9C-101B-9397-08002B2CF9AE}" pid="3" name="KSOProductBuildVer">
    <vt:lpwstr>1033-12.2.0.20795</vt:lpwstr>
  </property>
</Properties>
</file>